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2026 Income Statement" sheetId="1" state="visible" r:id="rId1"/>
  </sheets>
  <definedNames/>
  <calcPr calcId="124519" fullCalcOnLoad="1"/>
</workbook>
</file>

<file path=xl/styles.xml><?xml version="1.0" encoding="utf-8"?>
<styleSheet xmlns="http://schemas.openxmlformats.org/spreadsheetml/2006/main">
  <numFmts count="8">
    <numFmt numFmtId="164" formatCode="+$#,##0.0;-$#,##0.0;&quot;-&quot;"/>
    <numFmt numFmtId="165" formatCode="+0.0%;-0.0%;&quot;-&quot;"/>
    <numFmt numFmtId="166" formatCode="$#,##0.0"/>
    <numFmt numFmtId="167" formatCode="+0.0;-0.0;&quot;-&quot;"/>
    <numFmt numFmtId="168" formatCode="+0.0&quot; bps&quot;;-0.0&quot; bps&quot;;&quot;-&quot;"/>
    <numFmt numFmtId="169" formatCode="0.0&quot;%&quot;"/>
    <numFmt numFmtId="170" formatCode="+$#,##0.00;-$#,##0.00;&quot;-&quot;"/>
    <numFmt numFmtId="171" formatCode="$#,##0.00"/>
  </numFmts>
  <fonts count="15">
    <font>
      <name val="Calibri"/>
      <family val="2"/>
      <color theme="1"/>
      <sz val="11"/>
      <scheme val="minor"/>
    </font>
    <font>
      <name val="Arial"/>
      <b val="1"/>
      <color rgb="00FFFFFF"/>
      <sz val="13"/>
    </font>
    <font>
      <name val="Arial"/>
      <color rgb="00FFFFFF"/>
      <sz val="9"/>
    </font>
    <font>
      <name val="Arial"/>
      <b val="1"/>
      <color rgb="00FFFFFF"/>
      <sz val="9"/>
    </font>
    <font>
      <name val="Arial"/>
      <b val="1"/>
      <color rgb="00000000"/>
      <sz val="9"/>
    </font>
    <font>
      <name val="Arial"/>
      <b val="1"/>
      <color rgb="0000B050"/>
      <sz val="9"/>
    </font>
    <font>
      <name val="Arial"/>
      <color rgb="00000000"/>
      <sz val="9"/>
    </font>
    <font>
      <name val="Arial"/>
      <color rgb="00666666"/>
      <sz val="9"/>
    </font>
    <font>
      <name val="Arial"/>
      <color rgb="00333333"/>
      <sz val="8"/>
    </font>
    <font>
      <name val="Arial"/>
      <i val="1"/>
      <color rgb="001F4E79"/>
      <sz val="8"/>
    </font>
    <font>
      <name val="Arial"/>
      <b val="1"/>
      <color rgb="00FF8C00"/>
      <sz val="9"/>
    </font>
    <font>
      <name val="Arial"/>
      <b val="1"/>
      <color rgb="00C00000"/>
      <sz val="9"/>
    </font>
    <font>
      <name val="Arial"/>
      <b val="1"/>
      <color rgb="00FFFFFF"/>
      <sz val="10"/>
    </font>
    <font>
      <name val="Arial"/>
      <b val="1"/>
      <color rgb="001A1A2E"/>
      <sz val="14"/>
    </font>
    <font>
      <name val="Arial"/>
      <i val="1"/>
      <color rgb="00666666"/>
      <sz val="7"/>
    </font>
  </fonts>
  <fills count="14">
    <fill>
      <patternFill/>
    </fill>
    <fill>
      <patternFill patternType="gray125"/>
    </fill>
    <fill>
      <patternFill patternType="solid">
        <fgColor rgb="001A1A2E"/>
      </patternFill>
    </fill>
    <fill>
      <patternFill patternType="solid">
        <fgColor rgb="001F4E79"/>
      </patternFill>
    </fill>
    <fill>
      <patternFill patternType="solid">
        <fgColor rgb="002E75B6"/>
      </patternFill>
    </fill>
    <fill>
      <patternFill patternType="solid">
        <fgColor rgb="00FFFFFF"/>
      </patternFill>
    </fill>
    <fill>
      <patternFill patternType="solid">
        <fgColor rgb="00E8F5E9"/>
      </patternFill>
    </fill>
    <fill>
      <patternFill patternType="solid">
        <fgColor rgb="00EBF3FB"/>
      </patternFill>
    </fill>
    <fill>
      <patternFill patternType="solid">
        <fgColor rgb="00F2F2F2"/>
      </patternFill>
    </fill>
    <fill>
      <patternFill patternType="solid">
        <fgColor rgb="00FFF3E0"/>
      </patternFill>
    </fill>
    <fill>
      <patternFill patternType="solid">
        <fgColor rgb="00FFEBEE"/>
      </patternFill>
    </fill>
    <fill>
      <patternFill patternType="solid">
        <fgColor rgb="001A7A3A"/>
      </patternFill>
    </fill>
    <fill>
      <patternFill patternType="solid">
        <fgColor rgb="008B0000"/>
      </patternFill>
    </fill>
    <fill>
      <patternFill patternType="solid">
        <fgColor rgb="00FFF8E1"/>
      </patternFill>
    </fill>
  </fills>
  <borders count="1">
    <border>
      <left/>
      <right/>
      <top/>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0" applyAlignment="1" pivotButton="0" quotePrefix="0" xfId="0">
      <alignment horizontal="left" vertical="center" indent="1"/>
    </xf>
    <xf numFmtId="164" fontId="5" fillId="6" borderId="0" applyAlignment="1" pivotButton="0" quotePrefix="0" xfId="0">
      <alignment horizontal="right" vertical="center"/>
    </xf>
    <xf numFmtId="165" fontId="5" fillId="6" borderId="0" applyAlignment="1" pivotButton="0" quotePrefix="0" xfId="0">
      <alignment horizontal="right" vertical="center"/>
    </xf>
    <xf numFmtId="166" fontId="6" fillId="5" borderId="0" applyAlignment="1" pivotButton="0" quotePrefix="0" xfId="0">
      <alignment horizontal="right" vertical="center"/>
    </xf>
    <xf numFmtId="0" fontId="7" fillId="5" borderId="0" applyAlignment="1" pivotButton="0" quotePrefix="0" xfId="0">
      <alignment horizontal="right" vertical="center"/>
    </xf>
    <xf numFmtId="0" fontId="8" fillId="5" borderId="0" applyAlignment="1" pivotButton="0" quotePrefix="0" xfId="0">
      <alignment horizontal="left" vertical="top" wrapText="1"/>
    </xf>
    <xf numFmtId="0" fontId="9" fillId="7" borderId="0" applyAlignment="1" pivotButton="0" quotePrefix="0" xfId="0">
      <alignment horizontal="left" vertical="center" wrapText="1" indent="1"/>
    </xf>
    <xf numFmtId="0" fontId="6" fillId="8" borderId="0" applyAlignment="1" pivotButton="0" quotePrefix="0" xfId="0">
      <alignment horizontal="left" vertical="center" indent="1"/>
    </xf>
    <xf numFmtId="164" fontId="10" fillId="9" borderId="0" applyAlignment="1" pivotButton="0" quotePrefix="0" xfId="0">
      <alignment horizontal="right" vertical="center"/>
    </xf>
    <xf numFmtId="165" fontId="10" fillId="9" borderId="0" applyAlignment="1" pivotButton="0" quotePrefix="0" xfId="0">
      <alignment horizontal="right" vertical="center"/>
    </xf>
    <xf numFmtId="166" fontId="6" fillId="8" borderId="0" applyAlignment="1" pivotButton="0" quotePrefix="0" xfId="0">
      <alignment horizontal="right" vertical="center"/>
    </xf>
    <xf numFmtId="0" fontId="7" fillId="8" borderId="0" applyAlignment="1" pivotButton="0" quotePrefix="0" xfId="0">
      <alignment horizontal="right" vertical="center"/>
    </xf>
    <xf numFmtId="0" fontId="8" fillId="8" borderId="0" applyAlignment="1" pivotButton="0" quotePrefix="0" xfId="0">
      <alignment horizontal="left" vertical="top" wrapText="1"/>
    </xf>
    <xf numFmtId="0" fontId="6" fillId="5" borderId="0" applyAlignment="1" pivotButton="0" quotePrefix="0" xfId="0">
      <alignment horizontal="left" vertical="center" indent="1"/>
    </xf>
    <xf numFmtId="0" fontId="4" fillId="8" borderId="0" applyAlignment="1" pivotButton="0" quotePrefix="0" xfId="0">
      <alignment horizontal="left" vertical="center" indent="1"/>
    </xf>
    <xf numFmtId="167" fontId="10" fillId="9" borderId="0" applyAlignment="1" pivotButton="0" quotePrefix="0" xfId="0">
      <alignment horizontal="right" vertical="center"/>
    </xf>
    <xf numFmtId="168" fontId="10" fillId="9" borderId="0" applyAlignment="1" pivotButton="0" quotePrefix="0" xfId="0">
      <alignment horizontal="right" vertical="center"/>
    </xf>
    <xf numFmtId="169" fontId="10" fillId="9" borderId="0" applyAlignment="1" pivotButton="0" quotePrefix="0" xfId="0">
      <alignment horizontal="right" vertical="center"/>
    </xf>
    <xf numFmtId="169" fontId="6" fillId="8" borderId="0" applyAlignment="1" pivotButton="0" quotePrefix="0" xfId="0">
      <alignment horizontal="right" vertical="center"/>
    </xf>
    <xf numFmtId="170" fontId="6" fillId="8" borderId="0" applyAlignment="1" pivotButton="0" quotePrefix="0" xfId="0">
      <alignment horizontal="right" vertical="center"/>
    </xf>
    <xf numFmtId="165" fontId="6" fillId="8" borderId="0" applyAlignment="1" pivotButton="0" quotePrefix="0" xfId="0">
      <alignment horizontal="right" vertical="center"/>
    </xf>
    <xf numFmtId="171" fontId="10" fillId="9" borderId="0" applyAlignment="1" pivotButton="0" quotePrefix="0" xfId="0">
      <alignment horizontal="right" vertical="center"/>
    </xf>
    <xf numFmtId="171" fontId="6" fillId="8" borderId="0" applyAlignment="1" pivotButton="0" quotePrefix="0" xfId="0">
      <alignment horizontal="right" vertical="center"/>
    </xf>
    <xf numFmtId="170" fontId="11" fillId="10" borderId="0" applyAlignment="1" pivotButton="0" quotePrefix="0" xfId="0">
      <alignment horizontal="right" vertical="center"/>
    </xf>
    <xf numFmtId="165" fontId="11" fillId="10" borderId="0" applyAlignment="1" pivotButton="0" quotePrefix="0" xfId="0">
      <alignment horizontal="right" vertical="center"/>
    </xf>
    <xf numFmtId="164" fontId="6" fillId="8" borderId="0" applyAlignment="1" pivotButton="0" quotePrefix="0" xfId="0">
      <alignment horizontal="right" vertical="center"/>
    </xf>
    <xf numFmtId="170" fontId="10" fillId="9" borderId="0" applyAlignment="1" pivotButton="0" quotePrefix="0" xfId="0">
      <alignment horizontal="right" vertical="center"/>
    </xf>
    <xf numFmtId="171" fontId="6" fillId="5" borderId="0" applyAlignment="1" pivotButton="0" quotePrefix="0" xfId="0">
      <alignment horizontal="right" vertical="center"/>
    </xf>
    <xf numFmtId="167" fontId="5" fillId="6" borderId="0" applyAlignment="1" pivotButton="0" quotePrefix="0" xfId="0">
      <alignment horizontal="right" vertical="center"/>
    </xf>
    <xf numFmtId="168" fontId="5" fillId="6" borderId="0" applyAlignment="1" pivotButton="0" quotePrefix="0" xfId="0">
      <alignment horizontal="right" vertical="center"/>
    </xf>
    <xf numFmtId="169" fontId="5" fillId="6" borderId="0" applyAlignment="1" pivotButton="0" quotePrefix="0" xfId="0">
      <alignment horizontal="right" vertical="center"/>
    </xf>
    <xf numFmtId="0" fontId="12" fillId="11" borderId="0" applyAlignment="1" pivotButton="0" quotePrefix="0" xfId="0">
      <alignment horizontal="left" vertical="center" indent="1"/>
    </xf>
    <xf numFmtId="0" fontId="6" fillId="6" borderId="0" applyAlignment="1" pivotButton="0" quotePrefix="0" xfId="0">
      <alignment horizontal="left" vertical="top" wrapText="1" indent="2"/>
    </xf>
    <xf numFmtId="0" fontId="12" fillId="12" borderId="0" applyAlignment="1" pivotButton="0" quotePrefix="0" xfId="0">
      <alignment horizontal="left" vertical="center" indent="1"/>
    </xf>
    <xf numFmtId="0" fontId="6" fillId="10" borderId="0" applyAlignment="1" pivotButton="0" quotePrefix="0" xfId="0">
      <alignment horizontal="left" vertical="top" wrapText="1" indent="2"/>
    </xf>
    <xf numFmtId="0" fontId="12" fillId="3" borderId="0" applyAlignment="1" pivotButton="0" quotePrefix="0" xfId="0">
      <alignment horizontal="left" vertical="center" indent="1"/>
    </xf>
    <xf numFmtId="0" fontId="13" fillId="13" borderId="0" applyAlignment="1" pivotButton="0" quotePrefix="0" xfId="0">
      <alignment horizontal="center" vertical="center"/>
    </xf>
    <xf numFmtId="0" fontId="6" fillId="13" borderId="0" applyAlignment="1" pivotButton="0" quotePrefix="0" xfId="0">
      <alignment horizontal="left" vertical="top" wrapText="1" indent="2"/>
    </xf>
    <xf numFmtId="0" fontId="6" fillId="5" borderId="0" applyAlignment="1" pivotButton="0" quotePrefix="0" xfId="0">
      <alignment horizontal="left" vertical="top" wrapText="1" indent="2"/>
    </xf>
    <xf numFmtId="0" fontId="14" fillId="5"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0" customWidth="1" min="3" max="3"/>
    <col width="13" customWidth="1" min="4" max="4"/>
    <col width="13" customWidth="1" min="5" max="5"/>
    <col width="13" customWidth="1" min="6" max="6"/>
    <col width="90" customWidth="1" min="7" max="7"/>
    <col width="40" customWidth="1" min="8" max="8"/>
  </cols>
  <sheetData>
    <row r="1" ht="22" customHeight="1">
      <c r="A1" s="1" t="inlineStr">
        <is>
          <t>CELSIUS HOLDINGS, INC. (CELH) — Q1 2026 INCOME STATEMENT ANALYSIS</t>
        </is>
      </c>
    </row>
    <row r="2" ht="15" customHeight="1">
      <c r="A2" s="2" t="inlineStr">
        <is>
          <t>Quarter Ended March 31, 2026  |  Reported May 7, 2026  |  Source: Celsius Holdings Earnings Press Release</t>
        </is>
      </c>
    </row>
    <row r="3" ht="28" customHeight="1">
      <c r="A3" s="3" t="inlineStr">
        <is>
          <t>Line Item</t>
        </is>
      </c>
      <c r="B3" s="3" t="inlineStr">
        <is>
          <t>Y/Y Change ($M)</t>
        </is>
      </c>
      <c r="C3" s="3" t="inlineStr">
        <is>
          <t>Y/Y %</t>
        </is>
      </c>
      <c r="D3" s="3" t="inlineStr">
        <is>
          <t>Q1 2026 ($M)</t>
        </is>
      </c>
      <c r="E3" s="3" t="inlineStr">
        <is>
          <t>Q4 2025 ($M)</t>
        </is>
      </c>
      <c r="F3" s="3" t="inlineStr">
        <is>
          <t>Q1 2025 ($M)</t>
        </is>
      </c>
      <c r="G3" s="3" t="inlineStr">
        <is>
          <t>Notes</t>
        </is>
      </c>
      <c r="H3" s="3" t="inlineStr">
        <is>
          <t>What This Measures</t>
        </is>
      </c>
    </row>
    <row r="4" ht="94.59999999999999" customHeight="1">
      <c r="A4" s="4" t="inlineStr">
        <is>
          <t>Revenue</t>
        </is>
      </c>
      <c r="B4" s="5">
        <f>D4-F4</f>
        <v/>
      </c>
      <c r="C4" s="6">
        <f>IF(F4&lt;&gt;0,(D4-F4)/ABS(F4),"N/A")</f>
        <v/>
      </c>
      <c r="D4" s="7" t="n">
        <v>782.6</v>
      </c>
      <c r="E4" s="8" t="inlineStr">
        <is>
          <t>—</t>
        </is>
      </c>
      <c r="F4" s="7" t="n">
        <v>329.3</v>
      </c>
      <c r="G4" s="9" t="inlineStr">
        <is>
          <t>138% growth primarily acquisition-driven (Alani Nu +$368M, Rockstar +$67M); organic CELSIUS brand grew only +6% Y/Y. Alani Nu distributor loading into PepsiCo system inflated Q1 — one-time inventory build, not pure consumer demand. Real organic growth test comes Q3-Q4 2026 when acquisitions are lapped. If CELSIUS brand not back to double digits by then, that is when the alarm sounds.</t>
        </is>
      </c>
      <c r="H4" s="10" t="inlineStr">
        <is>
          <t>Top-line scale; total dollars sold across all brands and geographies</t>
        </is>
      </c>
    </row>
    <row r="5" ht="75" customHeight="1">
      <c r="A5" s="11" t="inlineStr">
        <is>
          <t xml:space="preserve">  North America</t>
        </is>
      </c>
      <c r="B5" s="12">
        <f>D5-F5</f>
        <v/>
      </c>
      <c r="C5" s="13">
        <f>IF(F5&lt;&gt;0,(D5-F5)/ABS(F5),"N/A")</f>
        <v/>
      </c>
      <c r="D5" s="14" t="n">
        <v>747.3</v>
      </c>
      <c r="E5" s="15" t="inlineStr">
        <is>
          <t>—</t>
        </is>
      </c>
      <c r="F5" s="14" t="n">
        <v>306.5</v>
      </c>
      <c r="G5" s="16" t="inlineStr">
        <is>
          <t>Acquisition-driven; CELSIUS brand organic growth only ~6% Y/Y. Alani Nu ($368M) + Rockstar ($67M) account for ~$435M of the $441M Y/Y increase. Alani Nu distributor loading into PepsiCo system may have pulled forward demand — a one-time inventory build that may not fully repeat in Q2.</t>
        </is>
      </c>
      <c r="H5" s="10" t="inlineStr">
        <is>
          <t>Domestic scale; ~95% of total revenue</t>
        </is>
      </c>
    </row>
    <row r="6" ht="68" customHeight="1">
      <c r="A6" s="17" t="inlineStr">
        <is>
          <t xml:space="preserve">  International</t>
        </is>
      </c>
      <c r="B6" s="5">
        <f>D6-F6</f>
        <v/>
      </c>
      <c r="C6" s="6">
        <f>IF(F6&lt;&gt;0,(D6-F6)/ABS(F6),"N/A")</f>
        <v/>
      </c>
      <c r="D6" s="7" t="n">
        <v>35.3</v>
      </c>
      <c r="E6" s="8" t="inlineStr">
        <is>
          <t>—</t>
        </is>
      </c>
      <c r="F6" s="7" t="n">
        <v>22.7</v>
      </c>
      <c r="G6" s="9" t="inlineStr">
        <is>
          <t>Organic +55% Y/Y — no acquisition benefit here. Driven by Nordics strength and expansion markets (UK, Ireland, France, Australia/NZ, Benelux). Only 4.5% of total revenue but growing fast and entirely organic. International is the cleanest growth signal in the revenue mix.</t>
        </is>
      </c>
      <c r="H6" s="10" t="inlineStr">
        <is>
          <t>Organic global expansion; growth quality indicator</t>
        </is>
      </c>
    </row>
    <row r="7" ht="117" customHeight="1">
      <c r="A7" s="18" t="inlineStr">
        <is>
          <t>Cost of Revenue</t>
        </is>
      </c>
      <c r="B7" s="12">
        <f>D7-F7</f>
        <v/>
      </c>
      <c r="C7" s="13">
        <f>IF(F7&lt;&gt;0,(D7-F7)/ABS(F7),"N/A")</f>
        <v/>
      </c>
      <c r="D7" s="14" t="n">
        <v>404.5</v>
      </c>
      <c r="E7" s="15" t="inlineStr">
        <is>
          <t>—</t>
        </is>
      </c>
      <c r="F7" s="14" t="n">
        <v>156.9</v>
      </c>
      <c r="G7" s="16" t="inlineStr">
        <is>
          <t>Cost grew +158% vs revenue +138% — 20 ppt gap reflects Alani Nu and Rockstar acquired at lower margin profiles than core CELSIUS brand. Core CELSIUS cost structure intact — the mix shift is the driver, not inefficiency. Q4 2025 COGS write-offs and transition costs largely behind. Commodity headwinds (Midwest aluminum LME premium) partially offset recovery. Margin recovery levers: orbit model, freight optimization, raw material alignment across Alani and Rockstar. Q2 gross margin guided flat ('sidestep').</t>
        </is>
      </c>
      <c r="H7" s="10" t="inlineStr">
        <is>
          <t>Direct production cost efficiency; lower growth vs revenue = margin expansion</t>
        </is>
      </c>
    </row>
    <row r="8" ht="76.39999999999999" customHeight="1">
      <c r="A8" s="4" t="inlineStr">
        <is>
          <t>Gross Profit</t>
        </is>
      </c>
      <c r="B8" s="5">
        <f>D8-F8</f>
        <v/>
      </c>
      <c r="C8" s="6">
        <f>IF(F8&lt;&gt;0,(D8-F8)/ABS(F8),"N/A")</f>
        <v/>
      </c>
      <c r="D8" s="7" t="n">
        <v>378.1</v>
      </c>
      <c r="E8" s="8" t="inlineStr">
        <is>
          <t>—</t>
        </is>
      </c>
      <c r="F8" s="7" t="n">
        <v>172.4</v>
      </c>
      <c r="G8" s="9" t="inlineStr">
        <is>
          <t>Dollar gross profit +119% Y/Y driven by acquisition scale — nearly doubled. Grew slower than revenue (+138%) because acquired brands carry lower margins. Dollar result is strong; efficiency story is told separately in Gross Margin below. Separating dollar result from margin rate gives a cleaner analytical picture.</t>
        </is>
      </c>
      <c r="H8" s="10" t="inlineStr">
        <is>
          <t>Absolute earning power after production; measures scale of the business</t>
        </is>
      </c>
    </row>
    <row r="9" ht="164.6" customHeight="1">
      <c r="A9" s="18" t="inlineStr">
        <is>
          <t>Gross Margin</t>
        </is>
      </c>
      <c r="B9" s="19">
        <f>D9-F9</f>
        <v/>
      </c>
      <c r="C9" s="20">
        <f>D9-F9</f>
        <v/>
      </c>
      <c r="D9" s="21" t="n">
        <v>48.3</v>
      </c>
      <c r="E9" s="15" t="inlineStr">
        <is>
          <t>—</t>
        </is>
      </c>
      <c r="F9" s="22" t="n">
        <v>52.3</v>
      </c>
      <c r="G9" s="16" t="inlineStr">
        <is>
          <t>-400 bps Y/Y due to Alani Nu and Rockstar acquisition mix — both brands carry lower margins than core CELSIUS upon acquisition. Not an operational failure. Sequential improvement: +90 bps vs Q4 2025 (~47.4%) — direction already reversing. Actual cell flagged amber: margin rate deteriorated even as revenue scaled — consistent rule: any margin that grew slower than or declined vs revenue gets amber on actual. Management target: return to 'low 50s' — no firm timeline given. Q2 guided flat ('sidestep'); step-ups expected Q3-Q4 via orbit model, freight structure optimization, and raw material alignment across Alani and Rockstar. Second manufacturing line in North Carolina begins H2 2026; full benefit 2027.</t>
        </is>
      </c>
      <c r="H9" s="10" t="inlineStr">
        <is>
          <t>Production efficiency; how much of each revenue dollar is retained after COGS</t>
        </is>
      </c>
    </row>
    <row r="10" ht="105.8" customHeight="1">
      <c r="A10" s="4" t="inlineStr">
        <is>
          <t>Total SG&amp;A (GAAP)</t>
        </is>
      </c>
      <c r="B10" s="5">
        <f>D10-F10</f>
        <v/>
      </c>
      <c r="C10" s="6">
        <f>IF(F10&lt;&gt;0,(D10-F10)/ABS(F10),"N/A")</f>
        <v/>
      </c>
      <c r="D10" s="7" t="n">
        <v>234.6</v>
      </c>
      <c r="E10" s="8" t="inlineStr">
        <is>
          <t>—</t>
        </is>
      </c>
      <c r="F10" s="7" t="n">
        <v>120.3</v>
      </c>
      <c r="G10" s="9" t="inlineStr">
        <is>
          <t>Dollars +95% Y/Y but grew slower than revenue (+138%) — operating leverage confirmed. % of revenue improved meaningfully: 36.5% → 30.0% (-650 bps). Includes $24.6M legal settlement accrual (Strong Arm Productions litigation) and $3.8M acquisition/integration costs — both one-time. Adj. SG&amp;A ex. one-time items: $206.3M / 26.4% of rev, down from 31.8% in Q4 2025. Green because SG&amp;A growing slower than revenue is the definition of operating leverage.</t>
        </is>
      </c>
      <c r="H10" s="10" t="inlineStr">
        <is>
          <t>Operating cost discipline; grew slower than revenue = operating leverage confirmed</t>
        </is>
      </c>
    </row>
    <row r="11" ht="75" customHeight="1">
      <c r="A11" s="11" t="inlineStr">
        <is>
          <t xml:space="preserve">  Sales &amp; Marketing</t>
        </is>
      </c>
      <c r="B11" s="5">
        <f>D11-F11</f>
        <v/>
      </c>
      <c r="C11" s="6">
        <f>IF(F11&lt;&gt;0,(D11-F11)/ABS(F11),"N/A")</f>
        <v/>
      </c>
      <c r="D11" s="14" t="n">
        <v>150.6</v>
      </c>
      <c r="E11" s="15" t="inlineStr">
        <is>
          <t>—</t>
        </is>
      </c>
      <c r="F11" s="14" t="n">
        <v>80.90000000000001</v>
      </c>
      <c r="G11" s="16" t="inlineStr">
        <is>
          <t>Dollars +86% Y/Y — grew slower than revenue (+138%). % of revenue improved: 24.6% → 19.2% (-540 bps). Brand spend becoming more efficient as portfolio scales across three brands. PepsiCo distribution handles shelf placement and logistics — reduces Celsius's direct marketing cost burden as volume scales.</t>
        </is>
      </c>
      <c r="H11" s="10" t="inlineStr">
        <is>
          <t>Brand investment efficiency; % of revenue shows leverage as scale grows</t>
        </is>
      </c>
    </row>
    <row r="12" ht="105.8" customHeight="1">
      <c r="A12" s="17" t="inlineStr">
        <is>
          <t xml:space="preserve">  General &amp; Administrative</t>
        </is>
      </c>
      <c r="B12" s="5">
        <f>D12-F12</f>
        <v/>
      </c>
      <c r="C12" s="6">
        <f>IF(F12&lt;&gt;0,(D12-F12)/ABS(F12),"N/A")</f>
        <v/>
      </c>
      <c r="D12" s="7" t="n">
        <v>84.09999999999999</v>
      </c>
      <c r="E12" s="8" t="inlineStr">
        <is>
          <t>—</t>
        </is>
      </c>
      <c r="F12" s="7" t="n">
        <v>39.4</v>
      </c>
      <c r="G12" s="9" t="inlineStr">
        <is>
          <t>Dollars +113% Y/Y — grew slower than revenue (+138%) — operating leverage. However composition is noisy: includes $24.6M legal settlement (Strong Arm) and $3.8M M&amp;A costs. Adjusted G&amp;A ex. one-time items: $55.7M — only +41% growth vs revenue +138%. Underlying overhead is very well controlled. Green because GAAP G&amp;A grew slower than revenue; note captures the one-time items that make the adjusted picture even cleaner than GAAP suggests.</t>
        </is>
      </c>
      <c r="H12" s="10" t="inlineStr">
        <is>
          <t>Overhead cost control; underlying G&amp;A grew only +41% ex. one-time items</t>
        </is>
      </c>
    </row>
    <row r="13" ht="94.59999999999999" customHeight="1">
      <c r="A13" s="11" t="inlineStr">
        <is>
          <t>Distributor Termination Fees</t>
        </is>
      </c>
      <c r="B13" s="23">
        <f>D13-F13</f>
        <v/>
      </c>
      <c r="C13" s="24">
        <f>IF(F13&lt;&gt;0,(D13-F13)/ABS(F13),"N/A")</f>
        <v/>
      </c>
      <c r="D13" s="25" t="n">
        <v>4.4</v>
      </c>
      <c r="E13" s="15" t="inlineStr">
        <is>
          <t>—</t>
        </is>
      </c>
      <c r="F13" s="26" t="n">
        <v>0</v>
      </c>
      <c r="G13" s="16" t="inlineStr">
        <is>
          <t>No prior year comp — cannot calculate meaningful Y/Y comparison. Actual flagged amber: real cash cost this quarter, not alarming but warrants attention. Transitional cost tied to shifting Alani Nu distribution from prior system into PepsiCo. Balance reduced from $264.1M to $40.0M remaining — wind-down well advanced. Not a recurring item; will disappear from the income statement as transition completes.</t>
        </is>
      </c>
      <c r="H13" s="10" t="inlineStr">
        <is>
          <t>Transitional one-time cost; signals distribution system restructuring in progress</t>
        </is>
      </c>
    </row>
    <row r="14" ht="80.59999999999999" customHeight="1">
      <c r="A14" s="4" t="inlineStr">
        <is>
          <t>Income from Operations</t>
        </is>
      </c>
      <c r="B14" s="5">
        <f>D14-F14</f>
        <v/>
      </c>
      <c r="C14" s="6">
        <f>IF(F14&lt;&gt;0,(D14-F14)/ABS(F14),"N/A")</f>
        <v/>
      </c>
      <c r="D14" s="7" t="n">
        <v>139</v>
      </c>
      <c r="E14" s="8" t="inlineStr">
        <is>
          <t>—</t>
        </is>
      </c>
      <c r="F14" s="7" t="n">
        <v>52</v>
      </c>
      <c r="G14" s="9" t="inlineStr">
        <is>
          <t>+167% Y/Y — grew faster than revenue (+138%). Operating margin expanded: 15.8% → 17.8% (+200 bps). This is the operating leverage story confirmed at the bottom of the operating section — the business is more profitable per dollar of revenue than a year ago despite absorbing two acquisition integrations simultaneously.</t>
        </is>
      </c>
      <c r="H14" s="10" t="inlineStr">
        <is>
          <t>Core business profitability before financing costs and taxes</t>
        </is>
      </c>
    </row>
    <row r="15" ht="154.8" customHeight="1">
      <c r="A15" s="18" t="inlineStr">
        <is>
          <t>Total Other Income (Expense)</t>
        </is>
      </c>
      <c r="B15" s="27">
        <f>D15-F15</f>
        <v/>
      </c>
      <c r="C15" s="28">
        <f>IF(F15&lt;&gt;0,(D15-F15)/ABS(F15),"N/A")</f>
        <v/>
      </c>
      <c r="D15" s="26" t="n">
        <v>-1.5</v>
      </c>
      <c r="E15" s="15" t="inlineStr">
        <is>
          <t>—</t>
        </is>
      </c>
      <c r="F15" s="14" t="n">
        <v>9</v>
      </c>
      <c r="G15" s="16" t="inlineStr">
        <is>
          <t>Swung from +$9.0M income to -$1.5M expense — a $10.5M Y/Y deterioration. Two causes: (1) Interest income declined $4.9M as cash was deployed into acquisitions. (2) New $11.8M quarterly interest expense on $696.5M term loan (due 2032) taken on to fund Alani Nu and Rockstar acquisitions — this did not exist a year ago. Partially offset by $7.4M other income (incl. $7.0M from PepsiCo related party). Red because this is structural and permanent — not a one-time item. The debt is a 2032 term loan; $11.8M interest drag repeats every quarter going forward. This is the ongoing price of the acquisition-funded growth strategy.</t>
        </is>
      </c>
      <c r="H15" s="10" t="inlineStr">
        <is>
          <t>Financing impact; new acquisition debt creates permanent quarterly interest drag</t>
        </is>
      </c>
    </row>
    <row r="16" ht="131" customHeight="1">
      <c r="A16" s="4" t="inlineStr">
        <is>
          <t>Pre-Tax Income</t>
        </is>
      </c>
      <c r="B16" s="12">
        <f>D16-F16</f>
        <v/>
      </c>
      <c r="C16" s="13">
        <f>IF(F16&lt;&gt;0,(D16-F16)/ABS(F16),"N/A")</f>
        <v/>
      </c>
      <c r="D16" s="7" t="n">
        <v>137.5</v>
      </c>
      <c r="E16" s="8" t="inlineStr">
        <is>
          <t>—</t>
        </is>
      </c>
      <c r="F16" s="7" t="n">
        <v>61</v>
      </c>
      <c r="G16" s="9" t="inlineStr">
        <is>
          <t>+125% Y/Y — grew slower than revenue (+138%). Amber by framework: any line growing slower than revenue signals efficiency erosion. The gap vs operating income (+167%) is entirely explained by the new interest expense. Unlike Adjusted EBITDA which adds back interest and D&amp;A to show operating performance independent of capital structure, Pre-Tax Income fully reflects the cost of the $696.5M term loan. Management emphasizes Adjusted EBITDA precisely because Pre-Tax Income will always look weaker than the operating business warrants until the acquisition debt is paid down.</t>
        </is>
      </c>
      <c r="H16" s="10" t="inlineStr">
        <is>
          <t>Total profitability before tax; fully reflects capital structure cost unlike EBITDA</t>
        </is>
      </c>
    </row>
    <row r="17" ht="86.19999999999999" customHeight="1">
      <c r="A17" s="11" t="inlineStr">
        <is>
          <t>Income Tax Provision</t>
        </is>
      </c>
      <c r="B17" s="29">
        <f>D17-F17</f>
        <v/>
      </c>
      <c r="C17" s="24">
        <f>IF(F17&lt;&gt;0,(D17-F17)/ABS(F17),"N/A")</f>
        <v/>
      </c>
      <c r="D17" s="14" t="n">
        <v>-27.4</v>
      </c>
      <c r="E17" s="15" t="inlineStr">
        <is>
          <t>—</t>
        </is>
      </c>
      <c r="F17" s="14" t="n">
        <v>-16.6</v>
      </c>
      <c r="G17" s="16" t="inlineStr">
        <is>
          <t>Tax expense grew +65% Y/Y vs revenue +138% — grew slower than revenue. No color applied: support line, not a primary profitability driver. Effective tax rate improved significantly: 27.2% → 19.9% (-730 bps). Lower rate driven by tax treatment of acquisition-related deductions — a meaningful benefit that helped net income outpace pre-tax income growth.</t>
        </is>
      </c>
      <c r="H17" s="10" t="inlineStr">
        <is>
          <t>Tax efficiency; effective rate reflects jurisdictional mix and deductions</t>
        </is>
      </c>
    </row>
    <row r="18" ht="119.8" customHeight="1">
      <c r="A18" s="4" t="inlineStr">
        <is>
          <t>Net Income</t>
        </is>
      </c>
      <c r="B18" s="5">
        <f>D18-F18</f>
        <v/>
      </c>
      <c r="C18" s="6">
        <f>IF(F18&lt;&gt;0,(D18-F18)/ABS(F18),"N/A")</f>
        <v/>
      </c>
      <c r="D18" s="7" t="n">
        <v>110.1</v>
      </c>
      <c r="E18" s="8" t="inlineStr">
        <is>
          <t>—</t>
        </is>
      </c>
      <c r="F18" s="7" t="n">
        <v>44.4</v>
      </c>
      <c r="G18" s="9" t="inlineStr">
        <is>
          <t>+148% Y/Y — grew faster than revenue (+138%). One of the few lines to outpace revenue growth. The tax rate improvement (27.2% → 19.9%, -730 bps) more than offset the new interest drag, pushing net income above the revenue growth rate. Note: Net Income belongs to all capital providers including PepsiCo preferred holders. Net Income to Common Shareholders ($85.1M) is the true investor scorecard — $25M is redirected to PepsiCo preferred every quarter before common shareholders see it.</t>
        </is>
      </c>
      <c r="H18" s="10" t="inlineStr">
        <is>
          <t>Total GAAP profitability; belongs to all capital providers including preferred holders</t>
        </is>
      </c>
    </row>
    <row r="19" ht="154.8" customHeight="1">
      <c r="A19" s="18" t="inlineStr">
        <is>
          <t>Net Income to Common Shareholders</t>
        </is>
      </c>
      <c r="B19" s="5">
        <f>D19-F19</f>
        <v/>
      </c>
      <c r="C19" s="6">
        <f>IF(F19&lt;&gt;0,(D19-F19)/ABS(F19),"N/A")</f>
        <v/>
      </c>
      <c r="D19" s="14" t="n">
        <v>85.09999999999999</v>
      </c>
      <c r="E19" s="15" t="inlineStr">
        <is>
          <t>—</t>
        </is>
      </c>
      <c r="F19" s="14" t="n">
        <v>34.4</v>
      </c>
      <c r="G19" s="16" t="inlineStr">
        <is>
          <t>+147% Y/Y — grew faster than revenue (+138%). Green by framework. $25M gap vs Net Income ($110.1M) reflects PepsiCo's convertible preferred stock: $14.0M in preferred dividends + $11.0M income allocated to participating preferred. Context: PepsiCo co-financed Celsius's acquisitions by receiving Series A and B convertible preferred stock. As preferred holders they get paid before common shareholders every quarter — a permanent recurring deduction of ~$25M ($100M annually). PepsiCo can convert preferred to ~78M common shares, swelling diluted count to ~334M. This is the investor's true earnings base — always use this line, not Net Income, when evaluating CELH as a common stock investment.</t>
        </is>
      </c>
      <c r="H19" s="10" t="inlineStr">
        <is>
          <t>Profitability available to common equity after preferred obligations to PepsiCo</t>
        </is>
      </c>
    </row>
    <row r="20" ht="139.4" customHeight="1">
      <c r="A20" s="4" t="inlineStr">
        <is>
          <t>Diluted EPS (GAAP)</t>
        </is>
      </c>
      <c r="B20" s="30">
        <f>D20-F20</f>
        <v/>
      </c>
      <c r="C20" s="13">
        <f>IF(F20&lt;&gt;0,(D20-F20)/ABS(F20),"N/A")</f>
        <v/>
      </c>
      <c r="D20" s="31" t="n">
        <v>0.33</v>
      </c>
      <c r="E20" s="8" t="inlineStr">
        <is>
          <t>—</t>
        </is>
      </c>
      <c r="F20" s="31" t="n">
        <v>0.15</v>
      </c>
      <c r="G20" s="9" t="inlineStr">
        <is>
          <t>+120% Y/Y — grew slower than revenue (+138%). Amber by framework. Preferred stock creates a double drag on EPS: (1) Numerator: $25M removed before calculation — reduces the earnings base. (2) Denominator: ~78M additional as-converted preferred shares inflate share count from 256M common to ~334M diluted — reduces per-share value. The two effects together explain why EPS growth (+120%) lags Net Income growth (+148%). Beat consensus ~$0.28 by +$0.05 (+17.9%). Adj. EPS $0.41 beat consensus $0.29-0.30 by +$0.11-0.12 (+37-41%). Basic EPS = Diluted EPS ($0.33) this quarter — effects roughly cancel out.</t>
        </is>
      </c>
      <c r="H20" s="10" t="inlineStr">
        <is>
          <t>Per-share profitability; primary metric Wall Street uses to price the stock</t>
        </is>
      </c>
    </row>
    <row r="21" ht="111.4" customHeight="1">
      <c r="A21" s="11" t="inlineStr">
        <is>
          <t>Basic EPS (GAAP)</t>
        </is>
      </c>
      <c r="B21" s="23">
        <f>D21-F21</f>
        <v/>
      </c>
      <c r="C21" s="24">
        <f>IF(F21&lt;&gt;0,(D21-F21)/ABS(F21),"N/A")</f>
        <v/>
      </c>
      <c r="D21" s="26" t="n">
        <v>0.33</v>
      </c>
      <c r="E21" s="15" t="inlineStr">
        <is>
          <t>—</t>
        </is>
      </c>
      <c r="F21" s="26" t="n">
        <v>0.15</v>
      </c>
      <c r="G21" s="16" t="inlineStr">
        <is>
          <t>Same as diluted EPS ($0.33) this quarter — effects roughly cancel. Basic EPS = Net Income to Common / actual shares outstanding (256.5M). Diluted EPS = Net Income to Common (adjusted) / fully diluted shares (~334M as-converted). When Basic = Diluted, dilution risk is minimal in the current period. Watch for divergence — that signals dilution is actively hurting common shareholders. No color: reference line; Diluted EPS above is the primary metric.</t>
        </is>
      </c>
      <c r="H21" s="10" t="inlineStr">
        <is>
          <t>Per-share profit on common shares only; excludes all dilutive securities</t>
        </is>
      </c>
    </row>
    <row r="22" ht="131" customHeight="1">
      <c r="A22" s="4" t="inlineStr">
        <is>
          <t>Adjusted EBITDA</t>
        </is>
      </c>
      <c r="B22" s="5">
        <f>D22-F22</f>
        <v/>
      </c>
      <c r="C22" s="6">
        <f>IF(F22&lt;&gt;0,(D22-F22)/ABS(F22),"N/A")</f>
        <v/>
      </c>
      <c r="D22" s="7" t="n">
        <v>195.5</v>
      </c>
      <c r="E22" s="8" t="inlineStr">
        <is>
          <t>—</t>
        </is>
      </c>
      <c r="F22" s="7" t="n">
        <v>69.7</v>
      </c>
      <c r="G22" s="9" t="inlineStr">
        <is>
          <t>+181% Y/Y — grew faster than revenue (+138%). Strongest growth rate in the statement. Margin expanded: 21.2% → 25.0% (+380 bps Y/Y). Beat consensus ~$165M by ~$30M (+18%). Add-backs total ~$49.5M: D&amp;A $9.1M, SBC $7.6M, legal settlement $24.6M, distributor termination $4.4M, M&amp;A costs $3.8M, FX -$0.4M. Management's primary operating metric — strips all acquisition noise to show underlying cash earning power of the brand portfolio. The +181% growth vs +138% revenue confirms the business generates cash at an accelerating rate relative to revenue as it scales.</t>
        </is>
      </c>
      <c r="H22" s="10" t="inlineStr">
        <is>
          <t>Cash earning power ex. non-cash and one-time items; management's primary metric</t>
        </is>
      </c>
    </row>
    <row r="23" ht="119.8" customHeight="1">
      <c r="A23" s="11" t="inlineStr">
        <is>
          <t>Adjusted EBITDA Margin</t>
        </is>
      </c>
      <c r="B23" s="32">
        <f>D23-F23</f>
        <v/>
      </c>
      <c r="C23" s="33">
        <f>D23-F23</f>
        <v/>
      </c>
      <c r="D23" s="34" t="n">
        <v>25</v>
      </c>
      <c r="E23" s="15" t="inlineStr">
        <is>
          <t>—</t>
        </is>
      </c>
      <c r="F23" s="22" t="n">
        <v>21.2</v>
      </c>
      <c r="G23" s="16" t="inlineStr">
        <is>
          <t>+380 bps Y/Y expansion — margin expanded despite absorbing two acquisitions at lower margin profiles. Demonstrates operating leverage at scale. Actual cell colored green: consistent rule — all margin rows get actual colored to match Y/Y color. Green actual = margin expanded Y/Y (positive signal). Contrast with Gross Margin (amber actual) where margin deteriorated — the two together tell the full story: gross margins under pressure from mix, but cash margins expanding from operating leverage. Both signals matter.</t>
        </is>
      </c>
      <c r="H23" s="10" t="inlineStr">
        <is>
          <t>Operating leverage at scale; expanding margin = business becoming more efficient</t>
        </is>
      </c>
    </row>
    <row r="24" ht="133.8" customHeight="1">
      <c r="A24" s="17" t="inlineStr">
        <is>
          <t>Adjusted Diluted EPS</t>
        </is>
      </c>
      <c r="B24" s="30">
        <f>D24-F24</f>
        <v/>
      </c>
      <c r="C24" s="13">
        <f>IF(F24&lt;&gt;0,(D24-F24)/ABS(F24),"N/A")</f>
        <v/>
      </c>
      <c r="D24" s="31" t="n">
        <v>0.41</v>
      </c>
      <c r="E24" s="8" t="inlineStr">
        <is>
          <t>—</t>
        </is>
      </c>
      <c r="F24" s="31" t="n">
        <v>0.18</v>
      </c>
      <c r="G24" s="9" t="inlineStr">
        <is>
          <t>+128% Y/Y — grew slower than revenue (+138%). Amber by framework. Same preferred share dilution dynamic as GAAP EPS affects the denominator even in the non-GAAP calculation. However this is the headline beat of the quarter: $0.41 vs consensus $0.29-0.30, a +37-41% surprise — strongest consensus beat in the statement. Add-backs net of tax: M&amp;A costs +$0.01, distributor termination +$0.01, legal settlement +$0.06. Tax effect of all adjustments: -$0.08/share. Despite amber on the Y/Y framework, the consensus beat signals the market was significantly underestimating Celsius's underlying earnings power.</t>
        </is>
      </c>
      <c r="H24" s="10" t="inlineStr">
        <is>
          <t>Clean per-share earnings ex. one-time items; consensus benchmark for beat/miss</t>
        </is>
      </c>
    </row>
    <row r="26" ht="10" customHeight="1"/>
    <row r="27" ht="18" customHeight="1">
      <c r="A27" s="35" t="inlineStr">
        <is>
          <t>▶  STRENGTHS</t>
        </is>
      </c>
    </row>
    <row r="28" ht="29" customHeight="1">
      <c r="A28" s="36" t="inlineStr">
        <is>
          <t>✓  Record Q1 revenue of $782.6M — +138% Y/Y; portfolio now holds 20.9% of the U.S. RTD energy category, one of the fastest category share gains in beverage history.</t>
        </is>
      </c>
    </row>
    <row r="29" ht="28" customHeight="1">
      <c r="A29" s="36" t="inlineStr">
        <is>
          <t>✓  Adjusted EBITDA +181% Y/Y to $195.5M at a 25.0% margin — strongest growth rate in the statement and proof that cash earnings scale faster than revenue.</t>
        </is>
      </c>
    </row>
    <row r="30" ht="29" customHeight="1">
      <c r="A30" s="36" t="inlineStr">
        <is>
          <t>✓  Operating leverage confirmed across every cost line: SG&amp;A (-650 bps as % of rev), Sales &amp; Marketing (-540 bps), Adj. SG&amp;A (-540 bps Q/Q). Cost discipline is real.</t>
        </is>
      </c>
    </row>
    <row r="31" ht="29" customHeight="1">
      <c r="A31" s="36" t="inlineStr">
        <is>
          <t>✓  Alani Nu integration complete: $50M in synergies captured, distribution fully transitioned into PepsiCo system. One of the fastest beverage integrations on record.</t>
        </is>
      </c>
    </row>
    <row r="32" ht="27" customHeight="1">
      <c r="A32" s="36" t="inlineStr">
        <is>
          <t>✓  International revenue +55% Y/Y organically — no acquisition benefit. Nordics leading; UK, France, Australia/NZ expanding. Clean growth signal.</t>
        </is>
      </c>
    </row>
    <row r="33" ht="28" customHeight="1">
      <c r="A33" s="36" t="inlineStr">
        <is>
          <t>✓  Gross margin improving sequentially: +90 bps Q/Q (47.4% → 48.3%). Direction of travel is correct even if Y/Y comparison is distorted by acquisitions.</t>
        </is>
      </c>
    </row>
    <row r="34" ht="28" customHeight="1">
      <c r="A34" s="36" t="inlineStr">
        <is>
          <t>✓  Adj. EPS $0.41 beat consensus $0.29-0.30 by +37-41% — strongest consensus beat in the statement. Market was significantly underestimating earning power.</t>
        </is>
      </c>
    </row>
    <row r="35" ht="24" customHeight="1">
      <c r="A35" s="36" t="inlineStr">
        <is>
          <t>✓  Tax rate improvement: 27.2% → 19.9% (-730 bps). Acquisition-related deductions providing meaningful tax shield.</t>
        </is>
      </c>
    </row>
    <row r="36" ht="26" customHeight="1">
      <c r="A36" s="36" t="inlineStr">
        <is>
          <t>✓  $24.1M share repurchases in Q1 — management putting capital to work at near 52-week lows, signaling confidence in intrinsic value.</t>
        </is>
      </c>
    </row>
    <row r="38" ht="18" customHeight="1">
      <c r="A38" s="37" t="inlineStr">
        <is>
          <t>▶  CONCERNS</t>
        </is>
      </c>
    </row>
    <row r="39" ht="33" customHeight="1">
      <c r="A39" s="38" t="inlineStr">
        <is>
          <t>✗  Organic CELSIUS brand growth only +6% Y/Y — the entire revenue growth story is inorganic. If CELSIUS brand not back to double digits by Q3-Q4 2026 when acquisitions lap, the thesis weakens materially.</t>
        </is>
      </c>
    </row>
    <row r="40" ht="32" customHeight="1">
      <c r="A40" s="38" t="inlineStr">
        <is>
          <t>✗  Gross margin -400 bps Y/Y (52.3% → 48.3%). Path back to 'low 50s' relies on orbit model, freight optimization, and commodity tailwinds — none of which are guaranteed. Q2 guided flat ('sidestep').</t>
        </is>
      </c>
    </row>
    <row r="41" ht="30" customHeight="1">
      <c r="A41" s="38" t="inlineStr">
        <is>
          <t>✗  New structural interest expense: $11.8M per quarter ($47M annualized) on $696.5M term loan due 2032. Permanent drag on Pre-Tax Income and EPS that did not exist a year ago.</t>
        </is>
      </c>
    </row>
    <row r="42" ht="31" customHeight="1">
      <c r="A42" s="38" t="inlineStr">
        <is>
          <t>✗  PepsiCo preferred stock drains ~$25M per quarter ($100M annually) from common shareholders — a permanent toll that reduces EPS and dilutes on conversion (~78M additional shares).</t>
        </is>
      </c>
    </row>
    <row r="43" ht="29" customHeight="1">
      <c r="A43" s="38" t="inlineStr">
        <is>
          <t>✗  Alani Nu Q1 revenue ($368M) may have been inflated by distributor loading as PepsiCo absorbed the brand — a one-time inventory build that may not repeat in Q2 or Q3.</t>
        </is>
      </c>
    </row>
    <row r="44" ht="30" customHeight="1">
      <c r="A44" s="38" t="inlineStr">
        <is>
          <t>✗  Rockstar Energy retail sales -13% Y/Y in tracked channels. Integration on track for H1 2026 completion but brand trajectory is weak. Rockstar is declining, not growing.</t>
        </is>
      </c>
    </row>
    <row r="45" ht="29" customHeight="1">
      <c r="A45" s="38" t="inlineStr">
        <is>
          <t>✗  Accrued legal expenses $88.2M (Strong Arm Productions litigation) — $24.6M accrued in Q1 alone. Liability overhang and uncertainty around final settlement amount.</t>
        </is>
      </c>
    </row>
    <row r="46" ht="28" customHeight="1">
      <c r="A46" s="38" t="inlineStr">
        <is>
          <t>✗  Customer concentration: PepsiCo = 59% of Q1 revenue and 45.5% of accounts receivable. Any change to the commercial agreement would be catastrophic.</t>
        </is>
      </c>
    </row>
    <row r="47" ht="25" customHeight="1">
      <c r="A47" s="38" t="inlineStr">
        <is>
          <t>✗  Distributor termination fees: $40.0M still accrued. While winding down, cash outflows will continue for several quarters.</t>
        </is>
      </c>
    </row>
    <row r="49" ht="18" customHeight="1">
      <c r="A49" s="39" t="inlineStr">
        <is>
          <t>▶  OVERALL ASSESSMENT</t>
        </is>
      </c>
    </row>
    <row r="50" ht="28" customHeight="1">
      <c r="A50" s="40" t="inlineStr">
        <is>
          <t>Quarter Grade:  B+</t>
        </is>
      </c>
    </row>
    <row r="51" ht="156" customHeight="1">
      <c r="A51" s="41" t="inlineStr">
        <is>
          <t>Celsius delivered a strong operational quarter but the headline numbers require careful interpretation. Record revenue of $783M and Adj. EBITDA of $195.5M are genuinely impressive — and the operating leverage story (SG&amp;A, S&amp;M, and G&amp;A all growing slower than revenue) is real and confirmed. The Adj. EPS beat of +37-41% vs consensus signals the market was underpricing the earnings power of the combined portfolio.
However two structural issues prevent a higher grade: (1) Organic CELSIUS brand growth of only +6% means the entire revenue growth narrative is acquisition-funded. The real test is Q3-Q4 2026 when the acquisition anniversaries lap and organic growth becomes visible. (2) The PepsiCo preferred stock structure permanently redirects ~$25M per quarter from common shareholders and the $696.5M term loan adds $11.8M quarterly interest drag — both are structural, not transient.
The gross margin recovery path (orbit model, freight optimization, raw material alignment) is credible but Q2 is guided flat and the commodity environment adds uncertainty. Rockstar's -13% retail decline is a yellow flag. The legal overhang ($88.2M accrued) adds noise.
Bottom line: Celsius is executing well on integration and demonstrating real operating leverage at scale. The portfolio is stronger than a year ago. But the organic growth question and the capital structure complexity make this a 'show me' story for the next two quarters.</t>
        </is>
      </c>
    </row>
    <row r="53" ht="18" customHeight="1">
      <c r="A53" s="39" t="inlineStr">
        <is>
          <t>▶  LETTER GRADE FRAMEWORK — CELSIUS HOLDINGS (CELH)</t>
        </is>
      </c>
    </row>
    <row r="54" ht="32" customHeight="1">
      <c r="A54" s="41" t="inlineStr">
        <is>
          <t>A   Organic CELSIUS brand growth reaccelerates to double digits. Gross margin returns to 50%+. Adj. EBITDA margin expands above 27%. No adverse PepsiCo agreement changes. Rockstar stabilizes.</t>
        </is>
      </c>
    </row>
    <row r="55" ht="34" customHeight="1">
      <c r="A55" s="41" t="inlineStr">
        <is>
          <t>B+   Current quarter: strong operational execution, confirmed operating leverage, major consensus beat. Acquisition integration on track. Organic growth question unresolved. Capital structure complexity persists.</t>
        </is>
      </c>
    </row>
    <row r="56" ht="32" customHeight="1">
      <c r="A56" s="41" t="inlineStr">
        <is>
          <t>B   Gross margin recovery stalls at 48-49%. CELSIUS brand organic growth stays mid-single digits. Operating leverage continues but Adj. EBITDA margin plateaus. Legal overhang partially resolved.</t>
        </is>
      </c>
    </row>
    <row r="57" ht="32" customHeight="1">
      <c r="A57" s="41" t="inlineStr">
        <is>
          <t>C   Gross margin deteriorates below 47%. CELSIUS brand loses market share. Alani Nu revenue normalizes sharply post-distributor loading. Rockstar continues declining. Adj. EBITDA margin contracts.</t>
        </is>
      </c>
    </row>
    <row r="58" ht="31" customHeight="1">
      <c r="A58" s="41" t="inlineStr">
        <is>
          <t>D   PepsiCo commercial agreement renegotiated adversely. Major customer concentration event. Legal liability exceeds accruals materially. Acquisition synergies fail to materialize.</t>
        </is>
      </c>
    </row>
    <row r="60" ht="18" customHeight="1">
      <c r="A60" s="39" t="inlineStr">
        <is>
          <t>▶  KEY METRICS TO WATCH — Q2 2026 (Expected Aug 6-11, 2026)</t>
        </is>
      </c>
    </row>
    <row r="61" ht="29" customHeight="1">
      <c r="A61" s="42" t="inlineStr">
        <is>
          <t>① CELSIUS Brand Organic Growth Rate — must show reacceleration toward double digits as Alani lapping begins. Single most important data point for the long-term thesis.</t>
        </is>
      </c>
    </row>
    <row r="62" ht="29" customHeight="1">
      <c r="A62" s="42" t="inlineStr">
        <is>
          <t>② Gross Margin — Q2 guided flat to Q1 (~48.3%). Any print above 49% = positive surprise. Any print below 47% = timeline to 'low 50s' extends into 2027 or beyond.</t>
        </is>
      </c>
    </row>
    <row r="63" ht="29" customHeight="1">
      <c r="A63" s="42" t="inlineStr">
        <is>
          <t>③ Alani Nu Revenue — watch for normalization from Q1's $368M. A significant Q/Q decline would confirm Q1 was inflated by distributor loading, not pure consumer demand.</t>
        </is>
      </c>
    </row>
    <row r="64" ht="26" customHeight="1">
      <c r="A64" s="42" t="inlineStr">
        <is>
          <t>④ Rockstar Integration Completion — management guided H1 2026. Confirm on track and watch for early velocity improvements post-reset.</t>
        </is>
      </c>
    </row>
    <row r="65" ht="28" customHeight="1">
      <c r="A65" s="42" t="inlineStr">
        <is>
          <t>⑤ Adj. SG&amp;A % of Revenue — Q1 was 26.4%, down from Q4's 31.8%. Continued improvement toward 25% confirms operating leverage is structural, not seasonal.</t>
        </is>
      </c>
    </row>
    <row r="66" ht="25" customHeight="1">
      <c r="A66" s="42" t="inlineStr">
        <is>
          <t>⑥ Adj. EBITDA Margin — Q1 was 25.0%. Watch for expansion toward 26-27% as orbit model and freight improvements take hold.</t>
        </is>
      </c>
    </row>
    <row r="67" ht="25" customHeight="1">
      <c r="A67" s="42" t="inlineStr">
        <is>
          <t>⑦ Legal Settlement Update — $88.2M accrued for Strong Arm litigation. Any resolution or incremental accrual will be material.</t>
        </is>
      </c>
    </row>
    <row r="68" ht="31" customHeight="1">
      <c r="A68" s="42" t="inlineStr">
        <is>
          <t>⑧ PepsiCo Preferred — watch for any conversion activity or changes to the preferred stock terms. Conversion would dilute common shareholders but eliminate the quarterly $25M drain.</t>
        </is>
      </c>
    </row>
    <row r="69" ht="27" customHeight="1">
      <c r="A69" s="42" t="inlineStr">
        <is>
          <t>⑨ Share Repurchase Activity — management bought $24.1M in Q1 near 52-week lows. Continuation signals sustained confidence; pause signals caution.</t>
        </is>
      </c>
    </row>
    <row r="71" ht="18" customHeight="1">
      <c r="A71" s="43" t="inlineStr">
        <is>
          <t>Source: Celsius Holdings Q1 2026 Earnings Press Release (May 7, 2026)  |  https://s203.q4cdn.com/427437840/files/doc_financials/2026/q1/v3/Celsius-Holdings-Q1-2026__Earnings-Press-Release.pdf  |  Estimates: Zacks, TIKR, Investing.com  |  Analysis built: May 2026  |  Script: build_celsius_simple_v4.py</t>
        </is>
      </c>
    </row>
  </sheetData>
  <mergeCells count="42">
    <mergeCell ref="A67:H67"/>
    <mergeCell ref="A30:H30"/>
    <mergeCell ref="A39:H39"/>
    <mergeCell ref="A51:H51"/>
    <mergeCell ref="A64:H64"/>
    <mergeCell ref="A60:H60"/>
    <mergeCell ref="A36:H36"/>
    <mergeCell ref="A49:H49"/>
    <mergeCell ref="A1:H1"/>
    <mergeCell ref="A45:H45"/>
    <mergeCell ref="A61:H61"/>
    <mergeCell ref="A69:H69"/>
    <mergeCell ref="A65:H65"/>
    <mergeCell ref="A54:H54"/>
    <mergeCell ref="A41:H41"/>
    <mergeCell ref="A66:H66"/>
    <mergeCell ref="A46:H46"/>
    <mergeCell ref="A27:H27"/>
    <mergeCell ref="A50:H50"/>
    <mergeCell ref="A56:H56"/>
    <mergeCell ref="A55:H55"/>
    <mergeCell ref="A57:H57"/>
    <mergeCell ref="A2:H2"/>
    <mergeCell ref="A71:H71"/>
    <mergeCell ref="A42:H42"/>
    <mergeCell ref="A33:H33"/>
    <mergeCell ref="A47:H47"/>
    <mergeCell ref="A32:H32"/>
    <mergeCell ref="A62:H62"/>
    <mergeCell ref="A53:H53"/>
    <mergeCell ref="A29:H29"/>
    <mergeCell ref="A35:H35"/>
    <mergeCell ref="A34:H34"/>
    <mergeCell ref="A43:H43"/>
    <mergeCell ref="A38:H38"/>
    <mergeCell ref="A63:H63"/>
    <mergeCell ref="A28:H28"/>
    <mergeCell ref="A68:H68"/>
    <mergeCell ref="A44:H44"/>
    <mergeCell ref="A31:H31"/>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2026-05-17T05:25:40Z</dcterms:created>
  <dcterms:modified xsi:type="dcterms:W3CDTF">2026-05-17T05:25:40Z</dcterms:modified>
</cp:coreProperties>
</file>