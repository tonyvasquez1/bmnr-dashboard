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1 2026 Income Statement" sheetId="1" state="visible" r:id="rId1"/>
    <sheet name="Data Sources" sheetId="2" state="visible" r:id="rId2"/>
    <sheet name="What's New" sheetId="3" state="visible" r:id="rId3"/>
    <sheet name="Forward Outlook" sheetId="4" state="visible" r:id="rId4"/>
  </sheets>
  <definedNames/>
  <calcPr calcId="124519" fullCalcOnLoad="1"/>
</workbook>
</file>

<file path=xl/styles.xml><?xml version="1.0" encoding="utf-8"?>
<styleSheet xmlns="http://schemas.openxmlformats.org/spreadsheetml/2006/main">
  <numFmts count="8">
    <numFmt numFmtId="164" formatCode="+$#,##0.0;-$#,##0.0;&quot;-&quot;"/>
    <numFmt numFmtId="165" formatCode="+0.0%;-0.0%;&quot;-&quot;"/>
    <numFmt numFmtId="166" formatCode="$#,##0.0"/>
    <numFmt numFmtId="167" formatCode="+0.0&quot; pp&quot;;-0.0&quot; pp&quot;;&quot;-&quot;"/>
    <numFmt numFmtId="168" formatCode="+0&quot; bps&quot;;-0&quot; bps&quot;;&quot;-&quot;"/>
    <numFmt numFmtId="169" formatCode="0.0&quot;%&quot;"/>
    <numFmt numFmtId="170" formatCode="+$#,##0.00;-$#,##0.00;&quot;-&quot;"/>
    <numFmt numFmtId="171" formatCode="$#,##0.00"/>
  </numFmts>
  <fonts count="27">
    <font>
      <name val="Calibri"/>
      <family val="2"/>
      <color theme="1"/>
      <sz val="11"/>
      <scheme val="minor"/>
    </font>
    <font>
      <name val="Arial"/>
      <b val="1"/>
      <color rgb="00FFFFFF"/>
      <sz val="14"/>
    </font>
    <font>
      <name val="Arial"/>
      <color rgb="00FFFFFF"/>
      <sz val="10"/>
    </font>
    <font>
      <name val="Arial"/>
      <b val="1"/>
      <color rgb="00FFFFFF"/>
      <sz val="9"/>
    </font>
    <font>
      <name val="Arial"/>
      <b val="1"/>
      <color rgb="00000000"/>
      <sz val="9"/>
    </font>
    <font>
      <name val="Arial"/>
      <b val="1"/>
      <color rgb="00FF8C00"/>
      <sz val="9"/>
    </font>
    <font>
      <name val="Arial"/>
      <color rgb="00000000"/>
      <sz val="9"/>
    </font>
    <font>
      <name val="Arial"/>
      <color rgb="00666666"/>
      <sz val="9"/>
    </font>
    <font>
      <name val="Arial"/>
      <color rgb="00333333"/>
      <sz val="8"/>
    </font>
    <font>
      <name val="Arial"/>
      <i val="1"/>
      <color rgb="001F4E79"/>
      <sz val="8"/>
    </font>
    <font>
      <name val="Arial"/>
      <i val="1"/>
      <color rgb="00666666"/>
      <sz val="9"/>
    </font>
    <font>
      <name val="Arial"/>
      <b val="1"/>
      <color rgb="0000B050"/>
      <sz val="9"/>
    </font>
    <font>
      <name val="Arial"/>
      <b val="1"/>
      <color rgb="00C00000"/>
      <sz val="9"/>
    </font>
    <font>
      <name val="Arial"/>
      <b val="1"/>
      <color rgb="00FFFFFF"/>
      <sz val="10"/>
    </font>
    <font>
      <name val="Arial"/>
      <b val="1"/>
      <color rgb="001A1A2E"/>
      <sz val="14"/>
    </font>
    <font>
      <name val="Arial"/>
      <i val="1"/>
      <color rgb="00666666"/>
      <sz val="8"/>
    </font>
    <font>
      <name val="Arial"/>
      <b val="1"/>
      <color rgb="00000000"/>
      <sz val="8"/>
    </font>
    <font>
      <name val="Arial"/>
      <color rgb="00000000"/>
      <sz val="8"/>
    </font>
    <font>
      <name val="Arial"/>
      <color rgb="000070C0"/>
      <sz val="8"/>
    </font>
    <font>
      <name val="Arial"/>
      <color rgb="00FFFFFF"/>
      <sz val="9"/>
    </font>
    <font>
      <name val="Arial"/>
      <b val="1"/>
      <color rgb="001A1A2E"/>
      <sz val="9"/>
    </font>
    <font>
      <name val="Arial"/>
      <i val="1"/>
      <color rgb="00000000"/>
      <sz val="8"/>
    </font>
    <font>
      <name val="Arial"/>
      <i val="1"/>
      <color rgb="00333333"/>
      <sz val="8"/>
    </font>
    <font>
      <name val="Arial"/>
      <color rgb="00FFFFFF"/>
      <sz val="8"/>
    </font>
    <font>
      <name val="Arial"/>
      <color rgb="00C00000"/>
      <sz val="9"/>
    </font>
    <font>
      <name val="Arial"/>
      <color rgb="0000B050"/>
      <sz val="9"/>
    </font>
    <font>
      <name val="Arial"/>
      <b val="1"/>
      <color rgb="00FFFFFF"/>
      <sz val="8"/>
    </font>
  </fonts>
  <fills count="15">
    <fill>
      <patternFill/>
    </fill>
    <fill>
      <patternFill patternType="gray125"/>
    </fill>
    <fill>
      <patternFill patternType="solid">
        <fgColor rgb="001A1A2E"/>
      </patternFill>
    </fill>
    <fill>
      <patternFill patternType="solid">
        <fgColor rgb="001F4E79"/>
      </patternFill>
    </fill>
    <fill>
      <patternFill patternType="solid">
        <fgColor rgb="002E75B6"/>
      </patternFill>
    </fill>
    <fill>
      <patternFill patternType="solid">
        <fgColor rgb="00FFFFFF"/>
      </patternFill>
    </fill>
    <fill>
      <patternFill patternType="solid">
        <fgColor rgb="00FFF3E0"/>
      </patternFill>
    </fill>
    <fill>
      <patternFill patternType="solid">
        <fgColor rgb="00EBF3FB"/>
      </patternFill>
    </fill>
    <fill>
      <patternFill patternType="solid">
        <fgColor rgb="00F2F2F2"/>
      </patternFill>
    </fill>
    <fill>
      <patternFill patternType="solid">
        <fgColor rgb="00E8F5E9"/>
      </patternFill>
    </fill>
    <fill>
      <patternFill patternType="solid">
        <fgColor rgb="00FFEBEE"/>
      </patternFill>
    </fill>
    <fill>
      <patternFill patternType="solid">
        <fgColor rgb="001A7A3A"/>
      </patternFill>
    </fill>
    <fill>
      <patternFill patternType="solid">
        <fgColor rgb="008B0000"/>
      </patternFill>
    </fill>
    <fill>
      <patternFill patternType="solid">
        <fgColor rgb="00FFF8E1"/>
      </patternFill>
    </fill>
    <fill>
      <patternFill patternType="solid">
        <fgColor rgb="00D6E4F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10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left" vertical="center" indent="1"/>
    </xf>
    <xf numFmtId="164" fontId="5" fillId="6" borderId="1" applyAlignment="1" pivotButton="0" quotePrefix="0" xfId="0">
      <alignment horizontal="right" vertical="center"/>
    </xf>
    <xf numFmtId="165" fontId="5" fillId="6" borderId="1" applyAlignment="1" pivotButton="0" quotePrefix="0" xfId="0">
      <alignment horizontal="right" vertical="center"/>
    </xf>
    <xf numFmtId="166" fontId="6" fillId="5" borderId="1" applyAlignment="1" pivotButton="0" quotePrefix="0" xfId="0">
      <alignment horizontal="right" vertical="center"/>
    </xf>
    <xf numFmtId="0" fontId="7" fillId="5" borderId="1" applyAlignment="1" pivotButton="0" quotePrefix="0" xfId="0">
      <alignment horizontal="right" vertical="center"/>
    </xf>
    <xf numFmtId="0" fontId="8" fillId="5" borderId="1" applyAlignment="1" pivotButton="0" quotePrefix="0" xfId="0">
      <alignment horizontal="left" vertical="top" wrapText="1"/>
    </xf>
    <xf numFmtId="0" fontId="9" fillId="7" borderId="1" applyAlignment="1" pivotButton="0" quotePrefix="0" xfId="0">
      <alignment horizontal="left" vertical="center" wrapText="1" indent="1"/>
    </xf>
    <xf numFmtId="0" fontId="10" fillId="8" borderId="1" applyAlignment="1" pivotButton="0" quotePrefix="0" xfId="0">
      <alignment horizontal="left" vertical="center" indent="1"/>
    </xf>
    <xf numFmtId="166" fontId="6" fillId="8" borderId="1" applyAlignment="1" pivotButton="0" quotePrefix="0" xfId="0">
      <alignment horizontal="right" vertical="center"/>
    </xf>
    <xf numFmtId="0" fontId="7" fillId="8" borderId="1" applyAlignment="1" pivotButton="0" quotePrefix="0" xfId="0">
      <alignment horizontal="right" vertical="center"/>
    </xf>
    <xf numFmtId="0" fontId="8" fillId="8" borderId="1" applyAlignment="1" pivotButton="0" quotePrefix="0" xfId="0">
      <alignment horizontal="left" vertical="top" wrapText="1"/>
    </xf>
    <xf numFmtId="0" fontId="10" fillId="5" borderId="1" applyAlignment="1" pivotButton="0" quotePrefix="0" xfId="0">
      <alignment horizontal="left" vertical="center" indent="1"/>
    </xf>
    <xf numFmtId="164" fontId="11" fillId="9" borderId="1" applyAlignment="1" pivotButton="0" quotePrefix="0" xfId="0">
      <alignment horizontal="right" vertical="center"/>
    </xf>
    <xf numFmtId="165" fontId="11" fillId="9" borderId="1" applyAlignment="1" pivotButton="0" quotePrefix="0" xfId="0">
      <alignment horizontal="right" vertical="center"/>
    </xf>
    <xf numFmtId="0" fontId="4" fillId="8" borderId="1" applyAlignment="1" pivotButton="0" quotePrefix="0" xfId="0">
      <alignment horizontal="left" vertical="center" indent="1"/>
    </xf>
    <xf numFmtId="167" fontId="5" fillId="6" borderId="1" applyAlignment="1" pivotButton="0" quotePrefix="0" xfId="0">
      <alignment horizontal="right" vertical="center"/>
    </xf>
    <xf numFmtId="168" fontId="5" fillId="6" borderId="1" applyAlignment="1" pivotButton="0" quotePrefix="0" xfId="0">
      <alignment horizontal="right" vertical="center"/>
    </xf>
    <xf numFmtId="169" fontId="5" fillId="6" borderId="1" applyAlignment="1" pivotButton="0" quotePrefix="0" xfId="0">
      <alignment horizontal="right" vertical="center"/>
    </xf>
    <xf numFmtId="169" fontId="6" fillId="8" borderId="1" applyAlignment="1" pivotButton="0" quotePrefix="0" xfId="0">
      <alignment horizontal="right" vertical="center"/>
    </xf>
    <xf numFmtId="0" fontId="6" fillId="8" borderId="1" applyAlignment="1" pivotButton="0" quotePrefix="0" xfId="0">
      <alignment horizontal="left" vertical="center" indent="1"/>
    </xf>
    <xf numFmtId="170" fontId="6" fillId="8" borderId="1" applyAlignment="1" pivotButton="0" quotePrefix="0" xfId="0">
      <alignment horizontal="right" vertical="center"/>
    </xf>
    <xf numFmtId="165" fontId="6" fillId="8" borderId="1" applyAlignment="1" pivotButton="0" quotePrefix="0" xfId="0">
      <alignment horizontal="right" vertical="center"/>
    </xf>
    <xf numFmtId="171" fontId="5" fillId="6" borderId="1" applyAlignment="1" pivotButton="0" quotePrefix="0" xfId="0">
      <alignment horizontal="right" vertical="center"/>
    </xf>
    <xf numFmtId="171" fontId="6" fillId="8" borderId="1" applyAlignment="1" pivotButton="0" quotePrefix="0" xfId="0">
      <alignment horizontal="right" vertical="center"/>
    </xf>
    <xf numFmtId="170" fontId="12" fillId="10" borderId="1" applyAlignment="1" pivotButton="0" quotePrefix="0" xfId="0">
      <alignment horizontal="right" vertical="center"/>
    </xf>
    <xf numFmtId="165" fontId="12" fillId="10" borderId="1" applyAlignment="1" pivotButton="0" quotePrefix="0" xfId="0">
      <alignment horizontal="right" vertical="center"/>
    </xf>
    <xf numFmtId="164" fontId="6" fillId="8" borderId="1" applyAlignment="1" pivotButton="0" quotePrefix="0" xfId="0">
      <alignment horizontal="right" vertical="center"/>
    </xf>
    <xf numFmtId="170" fontId="5" fillId="6" borderId="1" applyAlignment="1" pivotButton="0" quotePrefix="0" xfId="0">
      <alignment horizontal="right" vertical="center"/>
    </xf>
    <xf numFmtId="171" fontId="6" fillId="5" borderId="1" applyAlignment="1" pivotButton="0" quotePrefix="0" xfId="0">
      <alignment horizontal="right" vertical="center"/>
    </xf>
    <xf numFmtId="167" fontId="11" fillId="9" borderId="1" applyAlignment="1" pivotButton="0" quotePrefix="0" xfId="0">
      <alignment horizontal="right" vertical="center"/>
    </xf>
    <xf numFmtId="168" fontId="11" fillId="9" borderId="1" applyAlignment="1" pivotButton="0" quotePrefix="0" xfId="0">
      <alignment horizontal="right" vertical="center"/>
    </xf>
    <xf numFmtId="169" fontId="11" fillId="9" borderId="1" applyAlignment="1" pivotButton="0" quotePrefix="0" xfId="0">
      <alignment horizontal="right" vertical="center"/>
    </xf>
    <xf numFmtId="0" fontId="6" fillId="5" borderId="1" applyAlignment="1" pivotButton="0" quotePrefix="0" xfId="0">
      <alignment horizontal="left" vertical="center" indent="1"/>
    </xf>
    <xf numFmtId="0" fontId="13" fillId="11" borderId="0" applyAlignment="1" pivotButton="0" quotePrefix="0" xfId="0">
      <alignment horizontal="left" vertical="center" indent="1"/>
    </xf>
    <xf numFmtId="0" fontId="6" fillId="9" borderId="0" applyAlignment="1" pivotButton="0" quotePrefix="0" xfId="0">
      <alignment horizontal="left" vertical="top" wrapText="1" indent="2"/>
    </xf>
    <xf numFmtId="0" fontId="13" fillId="12" borderId="0" applyAlignment="1" pivotButton="0" quotePrefix="0" xfId="0">
      <alignment horizontal="left" vertical="center" indent="1"/>
    </xf>
    <xf numFmtId="0" fontId="6" fillId="10" borderId="0" applyAlignment="1" pivotButton="0" quotePrefix="0" xfId="0">
      <alignment horizontal="left" vertical="top" wrapText="1" indent="2"/>
    </xf>
    <xf numFmtId="0" fontId="13" fillId="3" borderId="0" applyAlignment="1" pivotButton="0" quotePrefix="0" xfId="0">
      <alignment horizontal="left" vertical="center" indent="1"/>
    </xf>
    <xf numFmtId="0" fontId="14" fillId="13" borderId="0" applyAlignment="1" pivotButton="0" quotePrefix="0" xfId="0">
      <alignment horizontal="center" vertical="center"/>
    </xf>
    <xf numFmtId="0" fontId="6" fillId="13" borderId="0" applyAlignment="1" pivotButton="0" quotePrefix="0" xfId="0">
      <alignment horizontal="left" vertical="top" wrapText="1" indent="2"/>
    </xf>
    <xf numFmtId="0" fontId="6" fillId="5" borderId="0" applyAlignment="1" pivotButton="0" quotePrefix="0" xfId="0">
      <alignment horizontal="left" vertical="top" wrapText="1" indent="2"/>
    </xf>
    <xf numFmtId="0" fontId="15" fillId="5" borderId="0" applyAlignment="1" pivotButton="0" quotePrefix="0" xfId="0">
      <alignment horizontal="left" wrapText="1"/>
    </xf>
    <xf numFmtId="0" fontId="16" fillId="5" borderId="1" applyAlignment="1" pivotButton="0" quotePrefix="0" xfId="0">
      <alignment horizontal="left" vertical="top" wrapText="1"/>
    </xf>
    <xf numFmtId="0" fontId="17" fillId="5" borderId="1" applyAlignment="1" pivotButton="0" quotePrefix="0" xfId="0">
      <alignment horizontal="center" vertical="top" wrapText="1"/>
    </xf>
    <xf numFmtId="0" fontId="17" fillId="5" borderId="1" applyAlignment="1" pivotButton="0" quotePrefix="0" xfId="0">
      <alignment horizontal="left" vertical="top" wrapText="1"/>
    </xf>
    <xf numFmtId="0" fontId="18" fillId="5" borderId="1" applyAlignment="1" pivotButton="0" quotePrefix="0" xfId="0">
      <alignment horizontal="left" vertical="top" wrapText="1"/>
    </xf>
    <xf numFmtId="0" fontId="16" fillId="8" borderId="1" applyAlignment="1" pivotButton="0" quotePrefix="0" xfId="0">
      <alignment horizontal="left" vertical="top" wrapText="1"/>
    </xf>
    <xf numFmtId="0" fontId="17" fillId="8" borderId="1" applyAlignment="1" pivotButton="0" quotePrefix="0" xfId="0">
      <alignment horizontal="center" vertical="top" wrapText="1"/>
    </xf>
    <xf numFmtId="0" fontId="17" fillId="8" borderId="1" applyAlignment="1" pivotButton="0" quotePrefix="0" xfId="0">
      <alignment horizontal="left" vertical="top" wrapText="1"/>
    </xf>
    <xf numFmtId="0" fontId="18" fillId="8" borderId="1" applyAlignment="1" pivotButton="0" quotePrefix="0" xfId="0">
      <alignment horizontal="left" vertical="top" wrapText="1"/>
    </xf>
    <xf numFmtId="0" fontId="19" fillId="3" borderId="0" applyAlignment="1" pivotButton="0" quotePrefix="0" xfId="0">
      <alignment horizontal="left" vertical="center" indent="1"/>
    </xf>
    <xf numFmtId="0" fontId="3" fillId="4" borderId="0" applyAlignment="1" pivotButton="0" quotePrefix="0" xfId="0">
      <alignment horizontal="center" vertical="center"/>
    </xf>
    <xf numFmtId="0" fontId="0" fillId="5" borderId="0" pivotButton="0" quotePrefix="0" xfId="0"/>
    <xf numFmtId="0" fontId="20" fillId="5" borderId="0" applyAlignment="1" pivotButton="0" quotePrefix="0" xfId="0">
      <alignment horizontal="left" vertical="top" wrapText="1" indent="1"/>
    </xf>
    <xf numFmtId="0" fontId="17" fillId="5" borderId="0" applyAlignment="1" pivotButton="0" quotePrefix="0" xfId="0">
      <alignment horizontal="left" vertical="top" wrapText="1"/>
    </xf>
    <xf numFmtId="0" fontId="0" fillId="8" borderId="0" pivotButton="0" quotePrefix="0" xfId="0"/>
    <xf numFmtId="0" fontId="20" fillId="8" borderId="0" applyAlignment="1" pivotButton="0" quotePrefix="0" xfId="0">
      <alignment horizontal="left" vertical="top" wrapText="1" indent="1"/>
    </xf>
    <xf numFmtId="0" fontId="17" fillId="8" borderId="0" applyAlignment="1" pivotButton="0" quotePrefix="0" xfId="0">
      <alignment horizontal="left" vertical="top" wrapText="1"/>
    </xf>
    <xf numFmtId="0" fontId="21" fillId="13" borderId="0" applyAlignment="1" pivotButton="0" quotePrefix="0" xfId="0">
      <alignment horizontal="left" vertical="top" wrapText="1" indent="2"/>
    </xf>
    <xf numFmtId="0" fontId="0" fillId="0" borderId="4" pivotButton="0" quotePrefix="0" xfId="0"/>
    <xf numFmtId="0" fontId="6" fillId="5" borderId="1" applyAlignment="1" pivotButton="0" quotePrefix="0" xfId="0">
      <alignment horizontal="left" vertical="center"/>
    </xf>
    <xf numFmtId="0" fontId="6" fillId="5" borderId="1" applyAlignment="1" pivotButton="0" quotePrefix="0" xfId="0">
      <alignment horizontal="center" vertical="center"/>
    </xf>
    <xf numFmtId="0" fontId="22" fillId="5" borderId="1" applyAlignment="1" pivotButton="0" quotePrefix="0" xfId="0">
      <alignment horizontal="left" vertical="top" wrapText="1"/>
    </xf>
    <xf numFmtId="0" fontId="6" fillId="8" borderId="1" applyAlignment="1" pivotButton="0" quotePrefix="0" xfId="0">
      <alignment horizontal="left" vertical="center"/>
    </xf>
    <xf numFmtId="0" fontId="6" fillId="8" borderId="1" applyAlignment="1" pivotButton="0" quotePrefix="0" xfId="0">
      <alignment horizontal="center" vertical="center"/>
    </xf>
    <xf numFmtId="0" fontId="5" fillId="6" borderId="1" applyAlignment="1" pivotButton="0" quotePrefix="0" xfId="0">
      <alignment horizontal="center" vertical="center"/>
    </xf>
    <xf numFmtId="0" fontId="22" fillId="8" borderId="1" applyAlignment="1" pivotButton="0" quotePrefix="0" xfId="0">
      <alignment horizontal="left" vertical="top" wrapText="1"/>
    </xf>
    <xf numFmtId="0" fontId="0" fillId="2" borderId="0" pivotButton="0" quotePrefix="0" xfId="0"/>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23" fillId="2" borderId="1" applyAlignment="1" pivotButton="0" quotePrefix="0" xfId="0">
      <alignment horizontal="left" vertical="top" wrapText="1"/>
    </xf>
    <xf numFmtId="0" fontId="0" fillId="9" borderId="0" pivotButton="0" quotePrefix="0" xfId="0"/>
    <xf numFmtId="0" fontId="4" fillId="9" borderId="1" applyAlignment="1" pivotButton="0" quotePrefix="0" xfId="0">
      <alignment horizontal="center" vertical="top" wrapText="1"/>
    </xf>
    <xf numFmtId="0" fontId="6" fillId="9" borderId="1" applyAlignment="1" pivotButton="0" quotePrefix="0" xfId="0">
      <alignment horizontal="center" vertical="top" wrapText="1"/>
    </xf>
    <xf numFmtId="0" fontId="6" fillId="9" borderId="1" applyAlignment="1" pivotButton="0" quotePrefix="0" xfId="0">
      <alignment horizontal="left" vertical="top" wrapText="1"/>
    </xf>
    <xf numFmtId="0" fontId="17" fillId="9" borderId="1" applyAlignment="1" pivotButton="0" quotePrefix="0" xfId="0">
      <alignment horizontal="left" vertical="top" wrapText="1"/>
    </xf>
    <xf numFmtId="0" fontId="0" fillId="14" borderId="0" pivotButton="0" quotePrefix="0" xfId="0"/>
    <xf numFmtId="0" fontId="4" fillId="14" borderId="1" applyAlignment="1" pivotButton="0" quotePrefix="0" xfId="0">
      <alignment horizontal="center" vertical="top" wrapText="1"/>
    </xf>
    <xf numFmtId="0" fontId="6" fillId="14" borderId="1" applyAlignment="1" pivotButton="0" quotePrefix="0" xfId="0">
      <alignment horizontal="center" vertical="top" wrapText="1"/>
    </xf>
    <xf numFmtId="0" fontId="6" fillId="14" borderId="1" applyAlignment="1" pivotButton="0" quotePrefix="0" xfId="0">
      <alignment horizontal="left" vertical="top" wrapText="1"/>
    </xf>
    <xf numFmtId="0" fontId="17" fillId="14" borderId="1" applyAlignment="1" pivotButton="0" quotePrefix="0" xfId="0">
      <alignment horizontal="left" vertical="top" wrapText="1"/>
    </xf>
    <xf numFmtId="0" fontId="0" fillId="10" borderId="0" pivotButton="0" quotePrefix="0" xfId="0"/>
    <xf numFmtId="0" fontId="4" fillId="10" borderId="1" applyAlignment="1" pivotButton="0" quotePrefix="0" xfId="0">
      <alignment horizontal="center" vertical="top" wrapText="1"/>
    </xf>
    <xf numFmtId="0" fontId="24" fillId="10" borderId="1" applyAlignment="1" pivotButton="0" quotePrefix="0" xfId="0">
      <alignment horizontal="center" vertical="top" wrapText="1"/>
    </xf>
    <xf numFmtId="0" fontId="6" fillId="10" borderId="1" applyAlignment="1" pivotButton="0" quotePrefix="0" xfId="0">
      <alignment horizontal="left" vertical="top" wrapText="1"/>
    </xf>
    <xf numFmtId="0" fontId="17" fillId="10" borderId="1" applyAlignment="1" pivotButton="0" quotePrefix="0" xfId="0">
      <alignment horizontal="left" vertical="top" wrapText="1"/>
    </xf>
    <xf numFmtId="0" fontId="25" fillId="5" borderId="1" applyAlignment="1" pivotButton="0" quotePrefix="0" xfId="0">
      <alignment horizontal="center" vertical="center"/>
    </xf>
    <xf numFmtId="0" fontId="24" fillId="8" borderId="1" applyAlignment="1" pivotButton="0" quotePrefix="0" xfId="0">
      <alignment horizontal="center" vertical="center"/>
    </xf>
    <xf numFmtId="0" fontId="25" fillId="8" borderId="1" applyAlignment="1" pivotButton="0" quotePrefix="0" xfId="0">
      <alignment horizontal="center" vertical="center"/>
    </xf>
    <xf numFmtId="0" fontId="24" fillId="5" borderId="1" applyAlignment="1" pivotButton="0" quotePrefix="0" xfId="0">
      <alignment horizontal="center" vertical="center"/>
    </xf>
    <xf numFmtId="0" fontId="3" fillId="2" borderId="1" applyAlignment="1" pivotButton="0" quotePrefix="0" xfId="0">
      <alignment horizontal="center" vertical="center"/>
    </xf>
    <xf numFmtId="0" fontId="26" fillId="2" borderId="1" applyAlignment="1" pivotButton="0" quotePrefix="0" xfId="0">
      <alignment horizontal="left" vertical="top" wrapText="1"/>
    </xf>
    <xf numFmtId="0" fontId="3" fillId="12" borderId="0" applyAlignment="1" pivotButton="0" quotePrefix="0" xfId="0">
      <alignment horizontal="left" vertical="top" wrapText="1" indent="2"/>
    </xf>
    <xf numFmtId="0" fontId="0" fillId="0" borderId="5" pivotButton="0" quotePrefix="0" xfId="0"/>
    <xf numFmtId="0" fontId="0" fillId="13" borderId="0" pivotButton="0" quotePrefix="0" xfId="0"/>
    <xf numFmtId="0" fontId="20" fillId="13" borderId="1" applyAlignment="1" pivotButton="0" quotePrefix="0" xfId="0">
      <alignment horizontal="center" vertical="top" wrapText="1"/>
    </xf>
    <xf numFmtId="0" fontId="20" fillId="13" borderId="1" applyAlignment="1" pivotButton="0" quotePrefix="0" xfId="0">
      <alignment horizontal="left" vertical="top" wrapText="1"/>
    </xf>
    <xf numFmtId="0" fontId="0" fillId="6" borderId="0" pivotButton="0" quotePrefix="0" xfId="0"/>
    <xf numFmtId="0" fontId="4" fillId="6" borderId="1" applyAlignment="1" pivotButton="0" quotePrefix="0" xfId="0">
      <alignment horizontal="center" vertical="top" wrapText="1"/>
    </xf>
    <xf numFmtId="0" fontId="6" fillId="6" borderId="1" applyAlignment="1" pivotButton="0" quotePrefix="0" xfId="0">
      <alignment horizontal="left" vertical="top" wrapText="1"/>
    </xf>
    <xf numFmtId="0" fontId="6" fillId="8" borderId="0" applyAlignment="1" pivotButton="0" quotePrefix="0" xfId="0">
      <alignment horizontal="lef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2E"/>
    <outlinePr summaryBelow="1" summaryRight="1"/>
    <pageSetUpPr/>
  </sheetPr>
  <dimension ref="A1:H7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10" customWidth="1" min="3" max="3"/>
    <col width="13" customWidth="1" min="4" max="4"/>
    <col width="13" customWidth="1" min="5" max="5"/>
    <col width="13" customWidth="1" min="6" max="6"/>
    <col width="90" customWidth="1" min="7" max="7"/>
    <col width="40" customWidth="1" min="8" max="8"/>
  </cols>
  <sheetData>
    <row r="1" ht="22" customHeight="1">
      <c r="A1" s="1" t="inlineStr">
        <is>
          <t>Celsius Holdings, Inc. (CELH) — Q1 2026 INCOME STATEMENT ANALYSIS</t>
        </is>
      </c>
    </row>
    <row r="2" ht="18" customHeight="1">
      <c r="A2" s="2" t="inlineStr">
        <is>
          <t>Quarter Ended March 31, 2026  |  Reported May 7, 2026  |  Source: Celsius Holdings, Inc. Earnings Press Release  |  $ in millions except per-share amounts</t>
        </is>
      </c>
    </row>
    <row r="3" ht="28" customHeight="1">
      <c r="A3" s="3" t="inlineStr">
        <is>
          <t>Line Item</t>
        </is>
      </c>
      <c r="B3" s="3" t="inlineStr">
        <is>
          <t>Y/Y Change</t>
        </is>
      </c>
      <c r="C3" s="3" t="inlineStr">
        <is>
          <t>Y/Y %</t>
        </is>
      </c>
      <c r="D3" s="3" t="inlineStr">
        <is>
          <t>Q1 2026 ($M)</t>
        </is>
      </c>
      <c r="E3" s="3" t="inlineStr">
        <is>
          <t>Q4 2025 ($M)</t>
        </is>
      </c>
      <c r="F3" s="3" t="inlineStr">
        <is>
          <t>Q1 2025 ($M)</t>
        </is>
      </c>
      <c r="G3" s="3" t="inlineStr">
        <is>
          <t>Notes</t>
        </is>
      </c>
      <c r="H3" s="3" t="inlineStr">
        <is>
          <t>What This Measures</t>
        </is>
      </c>
    </row>
    <row r="4" ht="180" customHeight="1">
      <c r="A4" s="4" t="inlineStr">
        <is>
          <t>Revenue</t>
        </is>
      </c>
      <c r="B4" s="5">
        <f>D4-F4</f>
        <v/>
      </c>
      <c r="C4" s="6">
        <f>IF(F4&lt;&gt;0,(D4-F4)/ABS(F4),"N/A")</f>
        <v/>
      </c>
      <c r="D4" s="7" t="n">
        <v>782.6</v>
      </c>
      <c r="E4" s="8" t="inlineStr">
        <is>
          <t>—</t>
        </is>
      </c>
      <c r="F4" s="7" t="n">
        <v>329.3</v>
      </c>
      <c r="G4" s="9" t="inlineStr">
        <is>
          <t>Amber despite +138% Y/Y because the headline overstates growth quality on two levels. Level 1 — inorganic: virtually all Y/Y growth comes from acquisitions (Alani Nu +$368M, Rockstar +$67M); organic CELSIUS brand grew only +6% Y/Y. Level 2 — loading inflation: Alani Nu's $368M Q1 contribution is itself distorted by a one-time PepsiCo distributor loading event (DSD network stocking before consumer pull-through begins). True Alani Nu sustainable run rate is ~$140-180M/quarter based on pre-acquisition ~$500M annual revenue + distribution expansion lift. That implies ~$190-230M of Q1 Alani Nu revenue was loading, not consumer demand. Normalized Q1 revenue ex-loading: ~$550-600M — a very different picture than $782.6M. Real organic growth test comes Q3-Q4 2026 when acquisitions lap. Amber is the right signal: revenue grew, but the quality and durability are unconfirmed.</t>
        </is>
      </c>
      <c r="H4" s="10" t="inlineStr">
        <is>
          <t>Top-line scale; amber = growth is real but heavily distorted by acquisitions + loading</t>
        </is>
      </c>
    </row>
    <row r="5" ht="180" customHeight="1">
      <c r="A5" s="11" t="inlineStr">
        <is>
          <t xml:space="preserve">  North America</t>
        </is>
      </c>
      <c r="B5" s="5">
        <f>D5-F5</f>
        <v/>
      </c>
      <c r="C5" s="6">
        <f>IF(F5&lt;&gt;0,(D5-F5)/ABS(F5),"N/A")</f>
        <v/>
      </c>
      <c r="D5" s="12" t="n">
        <v>747.3</v>
      </c>
      <c r="E5" s="13" t="inlineStr">
        <is>
          <t>—</t>
        </is>
      </c>
      <c r="F5" s="12" t="n">
        <v>306.5</v>
      </c>
      <c r="G5" s="14" t="inlineStr">
        <is>
          <t>Decomposition of $747.3M: CELSIUS organic ~$325M (+6% on $306.5M prior year) + Alani Nu ~$368M + Rockstar ~$67M. Acquisitions account for ~$422M of the $441M Y/Y gain. The Alani Nu figure is heavily distorted by one-time distributor loading — PepsiCo's DSD network stocking up before Alani Nu hits consumer shelves. Pre-acquisition Alani Nu ran ~$500M annually (~$125M/quarter of consumer pull-through); with PepsiCo distribution expansion, sustainable rate is ~$140-180M/quarter. That implies ~$190-230M (~55-60%) of the $368M Q1 Alani Nu revenue was loading, not demand. Projected Q2 North America normalized: ~$525-585M (CELSIUS ~$325-340M + Alani Nu normalized ~$140-180M + Rockstar ~$60-65M). A Q2 print above $560M is encouraging; below $500M confirms significant inflation. Management gave no Q2 revenue guidance — notable absence that aligns with this risk.</t>
        </is>
      </c>
      <c r="H5" s="10" t="inlineStr">
        <is>
          <t>Domestic scale; ~95% of revenue; normalized Q2 run rate ~$525-585M ex-loading</t>
        </is>
      </c>
    </row>
    <row r="6" ht="68" customHeight="1">
      <c r="A6" s="15" t="inlineStr">
        <is>
          <t xml:space="preserve">  International</t>
        </is>
      </c>
      <c r="B6" s="16">
        <f>D6-F6</f>
        <v/>
      </c>
      <c r="C6" s="17">
        <f>IF(F6&lt;&gt;0,(D6-F6)/ABS(F6),"N/A")</f>
        <v/>
      </c>
      <c r="D6" s="7" t="n">
        <v>35.3</v>
      </c>
      <c r="E6" s="8" t="inlineStr">
        <is>
          <t>—</t>
        </is>
      </c>
      <c r="F6" s="7" t="n">
        <v>22.7</v>
      </c>
      <c r="G6" s="9" t="inlineStr">
        <is>
          <t>Organic +55% Y/Y — no acquisition benefit here. Driven by Nordics strength and expansion markets (UK, Ireland, France, Australia/NZ, Benelux). Only 4.5% of total revenue but growing fast and entirely organic. International is the cleanest growth signal in the revenue mix.</t>
        </is>
      </c>
      <c r="H6" s="10" t="inlineStr">
        <is>
          <t>Organic global expansion; growth quality indicator</t>
        </is>
      </c>
    </row>
    <row r="7" ht="117" customHeight="1">
      <c r="A7" s="18" t="inlineStr">
        <is>
          <t>Cost of Revenue</t>
        </is>
      </c>
      <c r="B7" s="5">
        <f>D7-F7</f>
        <v/>
      </c>
      <c r="C7" s="6">
        <f>IF(F7&lt;&gt;0,(D7-F7)/ABS(F7),"N/A")</f>
        <v/>
      </c>
      <c r="D7" s="12" t="n">
        <v>404.5</v>
      </c>
      <c r="E7" s="13" t="inlineStr">
        <is>
          <t>—</t>
        </is>
      </c>
      <c r="F7" s="12" t="n">
        <v>156.9</v>
      </c>
      <c r="G7" s="14" t="inlineStr">
        <is>
          <t>Cost grew +158% vs revenue +138% — 20 ppt gap reflects Alani Nu and Rockstar acquired at lower margin profiles than core CELSIUS brand. Core CELSIUS cost structure intact — the mix shift is the driver, not inefficiency. Q4 2025 COGS write-offs and transition costs largely behind. Commodity headwinds (Midwest aluminum LME premium) partially offset recovery. Margin recovery levers: orbit model, freight optimization, raw material alignment across Alani and Rockstar. Q2 gross margin guided flat ('sidestep').</t>
        </is>
      </c>
      <c r="H7" s="10" t="inlineStr">
        <is>
          <t>Direct production cost efficiency; lower growth vs revenue = margin expansion</t>
        </is>
      </c>
    </row>
    <row r="8" ht="76.39999999999999" customHeight="1">
      <c r="A8" s="4" t="inlineStr">
        <is>
          <t>Gross Profit</t>
        </is>
      </c>
      <c r="B8" s="16">
        <f>D8-F8</f>
        <v/>
      </c>
      <c r="C8" s="17">
        <f>IF(F8&lt;&gt;0,(D8-F8)/ABS(F8),"N/A")</f>
        <v/>
      </c>
      <c r="D8" s="7" t="n">
        <v>378.1</v>
      </c>
      <c r="E8" s="8" t="inlineStr">
        <is>
          <t>—</t>
        </is>
      </c>
      <c r="F8" s="7" t="n">
        <v>172.4</v>
      </c>
      <c r="G8" s="9" t="inlineStr">
        <is>
          <t>Dollar gross profit +119% Y/Y driven by acquisition scale — nearly doubled. Grew slower than revenue (+138%) because acquired brands carry lower margins. Dollar result is strong; efficiency story is told separately in Gross Margin below. Separating dollar result from margin rate gives a cleaner analytical picture.</t>
        </is>
      </c>
      <c r="H8" s="10" t="inlineStr">
        <is>
          <t>Absolute earning power after production; measures scale of the business</t>
        </is>
      </c>
    </row>
    <row r="9" ht="164.6" customHeight="1">
      <c r="A9" s="18" t="inlineStr">
        <is>
          <t>Gross Margin</t>
        </is>
      </c>
      <c r="B9" s="19">
        <f>D9-F9</f>
        <v/>
      </c>
      <c r="C9" s="20">
        <f>(D9-F9)*100</f>
        <v/>
      </c>
      <c r="D9" s="21" t="n">
        <v>48.3</v>
      </c>
      <c r="E9" s="13" t="inlineStr">
        <is>
          <t>—</t>
        </is>
      </c>
      <c r="F9" s="22" t="n">
        <v>52.3</v>
      </c>
      <c r="G9" s="14" t="inlineStr">
        <is>
          <t>-400 bps Y/Y due to Alani Nu and Rockstar acquisition mix — both brands carry lower margins than core CELSIUS upon acquisition. Not an operational failure. Sequential improvement: +90 bps vs Q4 2025 (~47.4%) — direction already reversing. Actual cell flagged amber: margin rate deteriorated even as revenue scaled — consistent rule: any margin that grew slower than or declined vs revenue gets amber on actual. Management target: return to 'low 50s' — no firm timeline given. Q2 guided flat ('sidestep'); step-ups expected Q3-Q4 via orbit model, freight structure optimization, and raw material alignment across Alani and Rockstar. Second manufacturing line in North Carolina begins H2 2026; full benefit 2027.</t>
        </is>
      </c>
      <c r="H9" s="10" t="inlineStr">
        <is>
          <t>Production efficiency; how much of each revenue dollar is retained after COGS</t>
        </is>
      </c>
    </row>
    <row r="10" ht="105.8" customHeight="1">
      <c r="A10" s="4" t="inlineStr">
        <is>
          <t>Total SG&amp;A (GAAP)</t>
        </is>
      </c>
      <c r="B10" s="16">
        <f>D10-F10</f>
        <v/>
      </c>
      <c r="C10" s="17">
        <f>IF(F10&lt;&gt;0,(D10-F10)/ABS(F10),"N/A")</f>
        <v/>
      </c>
      <c r="D10" s="7" t="n">
        <v>234.6</v>
      </c>
      <c r="E10" s="8" t="inlineStr">
        <is>
          <t>—</t>
        </is>
      </c>
      <c r="F10" s="7" t="n">
        <v>120.3</v>
      </c>
      <c r="G10" s="9" t="inlineStr">
        <is>
          <t>Dollars +95% Y/Y but grew slower than revenue (+138%) — operating leverage confirmed. % of revenue improved meaningfully: 36.5% → 30.0% (-650 bps). Includes $24.6M legal settlement accrual (Strong Arm Productions litigation) and $3.8M acquisition/integration costs — both one-time. Adj. SG&amp;A ex. one-time items: $206.3M / 26.4% of rev, down from 31.8% in Q4 2025. Green because SG&amp;A growing slower than revenue is the definition of operating leverage.</t>
        </is>
      </c>
      <c r="H10" s="10" t="inlineStr">
        <is>
          <t>Operating cost discipline; grew slower than revenue = operating leverage confirmed</t>
        </is>
      </c>
    </row>
    <row r="11" ht="75" customHeight="1">
      <c r="A11" s="11" t="inlineStr">
        <is>
          <t xml:space="preserve">  Sales &amp; Marketing</t>
        </is>
      </c>
      <c r="B11" s="16">
        <f>D11-F11</f>
        <v/>
      </c>
      <c r="C11" s="17">
        <f>IF(F11&lt;&gt;0,(D11-F11)/ABS(F11),"N/A")</f>
        <v/>
      </c>
      <c r="D11" s="12" t="n">
        <v>150.6</v>
      </c>
      <c r="E11" s="13" t="inlineStr">
        <is>
          <t>—</t>
        </is>
      </c>
      <c r="F11" s="12" t="n">
        <v>80.90000000000001</v>
      </c>
      <c r="G11" s="14" t="inlineStr">
        <is>
          <t>Dollars +86% Y/Y — grew slower than revenue (+138%). % of revenue improved: 24.6% → 19.2% (-540 bps). Brand spend becoming more efficient as portfolio scales across three brands. PepsiCo distribution handles shelf placement and logistics — reduces Celsius's direct marketing cost burden as volume scales.</t>
        </is>
      </c>
      <c r="H11" s="10" t="inlineStr">
        <is>
          <t>Brand investment efficiency; % of revenue shows leverage as scale grows</t>
        </is>
      </c>
    </row>
    <row r="12" ht="105.8" customHeight="1">
      <c r="A12" s="15" t="inlineStr">
        <is>
          <t xml:space="preserve">  General &amp; Administrative</t>
        </is>
      </c>
      <c r="B12" s="16">
        <f>D12-F12</f>
        <v/>
      </c>
      <c r="C12" s="17">
        <f>IF(F12&lt;&gt;0,(D12-F12)/ABS(F12),"N/A")</f>
        <v/>
      </c>
      <c r="D12" s="7" t="n">
        <v>84.09999999999999</v>
      </c>
      <c r="E12" s="8" t="inlineStr">
        <is>
          <t>—</t>
        </is>
      </c>
      <c r="F12" s="7" t="n">
        <v>39.4</v>
      </c>
      <c r="G12" s="9" t="inlineStr">
        <is>
          <t>Dollars +113% Y/Y — grew slower than revenue (+138%) — operating leverage. However composition is noisy: includes $24.6M legal settlement (Strong Arm) and $3.8M M&amp;A costs. Adjusted G&amp;A ex. one-time items: $55.7M — only +41% growth vs revenue +138%. Underlying overhead is very well controlled. Green because GAAP G&amp;A grew slower than revenue; note captures the one-time items that make the adjusted picture even cleaner than GAAP suggests.</t>
        </is>
      </c>
      <c r="H12" s="10" t="inlineStr">
        <is>
          <t>Overhead cost control; underlying G&amp;A grew only +41% ex. one-time items</t>
        </is>
      </c>
    </row>
    <row r="13" ht="94.59999999999999" customHeight="1">
      <c r="A13" s="23" t="inlineStr">
        <is>
          <t>Distributor Termination Fees</t>
        </is>
      </c>
      <c r="B13" s="24">
        <f>D13-F13</f>
        <v/>
      </c>
      <c r="C13" s="25">
        <f>IF(F13&lt;&gt;0,(D13-F13)/ABS(F13),"N/A")</f>
        <v/>
      </c>
      <c r="D13" s="26" t="n">
        <v>4.4</v>
      </c>
      <c r="E13" s="13" t="inlineStr">
        <is>
          <t>—</t>
        </is>
      </c>
      <c r="F13" s="27" t="n">
        <v>0</v>
      </c>
      <c r="G13" s="14" t="inlineStr">
        <is>
          <t>No prior year comp — cannot calculate meaningful Y/Y comparison. Actual flagged amber: real cash cost this quarter, not alarming but warrants attention. Transitional cost tied to shifting Alani Nu distribution from prior system into PepsiCo. Balance reduced from $264.1M to $40.0M remaining — wind-down well advanced. Not a recurring item; will disappear from the income statement as transition completes.</t>
        </is>
      </c>
      <c r="H13" s="10" t="inlineStr">
        <is>
          <t>Transitional one-time cost; signals distribution system restructuring in progress</t>
        </is>
      </c>
    </row>
    <row r="14" ht="80.59999999999999" customHeight="1">
      <c r="A14" s="4" t="inlineStr">
        <is>
          <t>Income from Operations</t>
        </is>
      </c>
      <c r="B14" s="16">
        <f>D14-F14</f>
        <v/>
      </c>
      <c r="C14" s="17">
        <f>IF(F14&lt;&gt;0,(D14-F14)/ABS(F14),"N/A")</f>
        <v/>
      </c>
      <c r="D14" s="7" t="n">
        <v>139</v>
      </c>
      <c r="E14" s="8" t="inlineStr">
        <is>
          <t>—</t>
        </is>
      </c>
      <c r="F14" s="7" t="n">
        <v>52</v>
      </c>
      <c r="G14" s="9" t="inlineStr">
        <is>
          <t>+167% Y/Y — grew faster than revenue (+138%). Operating margin expanded: 15.8% → 17.8% (+200 bps). This is the operating leverage story confirmed at the bottom of the operating section — the business is more profitable per dollar of revenue than a year ago despite absorbing two acquisition integrations simultaneously.</t>
        </is>
      </c>
      <c r="H14" s="10" t="inlineStr">
        <is>
          <t>Core business profitability before financing costs and taxes</t>
        </is>
      </c>
    </row>
    <row r="15" ht="154.8" customHeight="1">
      <c r="A15" s="18" t="inlineStr">
        <is>
          <t>Total Other Income (Expense)</t>
        </is>
      </c>
      <c r="B15" s="28">
        <f>D15-F15</f>
        <v/>
      </c>
      <c r="C15" s="29">
        <f>IF(F15&lt;&gt;0,(D15-F15)/ABS(F15),"N/A")</f>
        <v/>
      </c>
      <c r="D15" s="27" t="n">
        <v>-1.5</v>
      </c>
      <c r="E15" s="13" t="inlineStr">
        <is>
          <t>—</t>
        </is>
      </c>
      <c r="F15" s="12" t="n">
        <v>9</v>
      </c>
      <c r="G15" s="14" t="inlineStr">
        <is>
          <t>Swung from +$9.0M income to -$1.5M expense — a $10.5M Y/Y deterioration. Two causes: (1) Interest income declined $4.9M as cash was deployed into acquisitions. (2) New $11.8M quarterly interest expense on $696.5M term loan (due 2032) taken on to fund Alani Nu and Rockstar acquisitions — this did not exist a year ago. Partially offset by $7.4M other income (incl. $7.0M from PepsiCo related party). Red because this is structural and permanent — not a one-time item. The debt is a 2032 term loan; $11.8M interest drag repeats every quarter going forward. This is the ongoing price of the acquisition-funded growth strategy.</t>
        </is>
      </c>
      <c r="H15" s="10" t="inlineStr">
        <is>
          <t>Financing impact; new acquisition debt creates permanent quarterly interest drag</t>
        </is>
      </c>
    </row>
    <row r="16" ht="131" customHeight="1">
      <c r="A16" s="4" t="inlineStr">
        <is>
          <t>Pre-Tax Income</t>
        </is>
      </c>
      <c r="B16" s="5">
        <f>D16-F16</f>
        <v/>
      </c>
      <c r="C16" s="6">
        <f>IF(F16&lt;&gt;0,(D16-F16)/ABS(F16),"N/A")</f>
        <v/>
      </c>
      <c r="D16" s="7" t="n">
        <v>137.5</v>
      </c>
      <c r="E16" s="8" t="inlineStr">
        <is>
          <t>—</t>
        </is>
      </c>
      <c r="F16" s="7" t="n">
        <v>61</v>
      </c>
      <c r="G16" s="9" t="inlineStr">
        <is>
          <t>+125% Y/Y — grew slower than revenue (+138%). Amber by framework: any line growing slower than revenue signals efficiency erosion. The gap vs operating income (+167%) is entirely explained by the new interest expense. Unlike Adjusted EBITDA which adds back interest and D&amp;A to show operating performance independent of capital structure, Pre-Tax Income fully reflects the cost of the $696.5M term loan. Management emphasizes Adjusted EBITDA precisely because Pre-Tax Income will always look weaker than the operating business warrants until the acquisition debt is paid down.</t>
        </is>
      </c>
      <c r="H16" s="10" t="inlineStr">
        <is>
          <t>Total profitability before tax; fully reflects capital structure cost unlike EBITDA</t>
        </is>
      </c>
    </row>
    <row r="17" ht="86.19999999999999" customHeight="1">
      <c r="A17" s="23" t="inlineStr">
        <is>
          <t>Income Tax Provision</t>
        </is>
      </c>
      <c r="B17" s="30">
        <f>D17-F17</f>
        <v/>
      </c>
      <c r="C17" s="25">
        <f>IF(F17&lt;&gt;0,(D17-F17)/ABS(F17),"N/A")</f>
        <v/>
      </c>
      <c r="D17" s="12" t="n">
        <v>-27.4</v>
      </c>
      <c r="E17" s="13" t="inlineStr">
        <is>
          <t>—</t>
        </is>
      </c>
      <c r="F17" s="12" t="n">
        <v>-16.6</v>
      </c>
      <c r="G17" s="14" t="inlineStr">
        <is>
          <t>Tax expense grew +65% Y/Y vs revenue +138% — grew slower than revenue. No color applied: support line, not a primary profitability driver. Effective tax rate improved significantly: 27.2% → 19.9% (-730 bps). Lower rate driven by tax treatment of acquisition-related deductions — a meaningful benefit that helped net income outpace pre-tax income growth.</t>
        </is>
      </c>
      <c r="H17" s="10" t="inlineStr">
        <is>
          <t>Tax efficiency; effective rate reflects jurisdictional mix and deductions</t>
        </is>
      </c>
    </row>
    <row r="18" ht="119.8" customHeight="1">
      <c r="A18" s="4" t="inlineStr">
        <is>
          <t>Net Income</t>
        </is>
      </c>
      <c r="B18" s="16">
        <f>D18-F18</f>
        <v/>
      </c>
      <c r="C18" s="17">
        <f>IF(F18&lt;&gt;0,(D18-F18)/ABS(F18),"N/A")</f>
        <v/>
      </c>
      <c r="D18" s="7" t="n">
        <v>110.1</v>
      </c>
      <c r="E18" s="8" t="inlineStr">
        <is>
          <t>—</t>
        </is>
      </c>
      <c r="F18" s="7" t="n">
        <v>44.4</v>
      </c>
      <c r="G18" s="9" t="inlineStr">
        <is>
          <t>+148% Y/Y — grew faster than revenue (+138%). One of the few lines to outpace revenue growth. The tax rate improvement (27.2% → 19.9%, -730 bps) more than offset the new interest drag, pushing net income above the revenue growth rate. Note: Net Income belongs to all capital providers including PepsiCo preferred holders. Net Income to Common Shareholders ($85.1M) is the true investor scorecard — $25M is redirected to PepsiCo preferred every quarter before common shareholders see it.</t>
        </is>
      </c>
      <c r="H18" s="10" t="inlineStr">
        <is>
          <t>Total GAAP profitability; belongs to all capital providers including preferred holders</t>
        </is>
      </c>
    </row>
    <row r="19" ht="154.8" customHeight="1">
      <c r="A19" s="18" t="inlineStr">
        <is>
          <t>Net Income to Common Shareholders</t>
        </is>
      </c>
      <c r="B19" s="16">
        <f>D19-F19</f>
        <v/>
      </c>
      <c r="C19" s="17">
        <f>IF(F19&lt;&gt;0,(D19-F19)/ABS(F19),"N/A")</f>
        <v/>
      </c>
      <c r="D19" s="12" t="n">
        <v>85.09999999999999</v>
      </c>
      <c r="E19" s="13" t="inlineStr">
        <is>
          <t>—</t>
        </is>
      </c>
      <c r="F19" s="12" t="n">
        <v>34.4</v>
      </c>
      <c r="G19" s="14" t="inlineStr">
        <is>
          <t>+147% Y/Y — grew faster than revenue (+138%). Green by framework. $25M gap vs Net Income ($110.1M) reflects PepsiCo's convertible preferred stock: $14.0M in preferred dividends + $11.0M income allocated to participating preferred. Context: PepsiCo co-financed Celsius's acquisitions by receiving Series A and B convertible preferred stock. As preferred holders they get paid before common shareholders every quarter — a permanent recurring deduction of ~$25M ($100M annually). PepsiCo can convert preferred to ~78M common shares, swelling diluted count to ~334M. This is the investor's true earnings base — always use this line, not Net Income, when evaluating CELH as a common stock investment.</t>
        </is>
      </c>
      <c r="H19" s="10" t="inlineStr">
        <is>
          <t>Profitability available to common equity after preferred obligations to PepsiCo</t>
        </is>
      </c>
    </row>
    <row r="20" ht="139.4" customHeight="1">
      <c r="A20" s="4" t="inlineStr">
        <is>
          <t>Diluted EPS (GAAP)</t>
        </is>
      </c>
      <c r="B20" s="31">
        <f>D20-F20</f>
        <v/>
      </c>
      <c r="C20" s="6">
        <f>IF(F20&lt;&gt;0,(D20-F20)/ABS(F20),"N/A")</f>
        <v/>
      </c>
      <c r="D20" s="32" t="n">
        <v>0.33</v>
      </c>
      <c r="E20" s="8" t="inlineStr">
        <is>
          <t>—</t>
        </is>
      </c>
      <c r="F20" s="32" t="n">
        <v>0.15</v>
      </c>
      <c r="G20" s="9" t="inlineStr">
        <is>
          <t>+120% Y/Y — grew slower than revenue (+138%). Amber by framework. Preferred stock creates a double drag on EPS: (1) Numerator: $25M removed before calculation — reduces the earnings base. (2) Denominator: ~78M additional as-converted preferred shares inflate share count from 256M common to ~334M diluted — reduces per-share value. The two effects together explain why EPS growth (+120%) lags Net Income growth (+148%). Beat consensus ~$0.28 by +$0.05 (+17.9%). Adj. EPS $0.41 beat consensus $0.29-0.30 by +$0.11-0.12 (+37-41%). Basic EPS = Diluted EPS ($0.33) this quarter — effects roughly cancel out.</t>
        </is>
      </c>
      <c r="H20" s="10" t="inlineStr">
        <is>
          <t>Per-share profitability; primary metric Wall Street uses to price the stock</t>
        </is>
      </c>
    </row>
    <row r="21" ht="111.4" customHeight="1">
      <c r="A21" s="23" t="inlineStr">
        <is>
          <t>Basic EPS (GAAP)</t>
        </is>
      </c>
      <c r="B21" s="24">
        <f>D21-F21</f>
        <v/>
      </c>
      <c r="C21" s="25">
        <f>IF(F21&lt;&gt;0,(D21-F21)/ABS(F21),"N/A")</f>
        <v/>
      </c>
      <c r="D21" s="27" t="n">
        <v>0.33</v>
      </c>
      <c r="E21" s="13" t="inlineStr">
        <is>
          <t>—</t>
        </is>
      </c>
      <c r="F21" s="27" t="n">
        <v>0.15</v>
      </c>
      <c r="G21" s="14" t="inlineStr">
        <is>
          <t>Same as diluted EPS ($0.33) this quarter — effects roughly cancel. Basic EPS = Net Income to Common / actual shares outstanding (256.5M). Diluted EPS = Net Income to Common (adjusted) / fully diluted shares (~334M as-converted). When Basic = Diluted, dilution risk is minimal in the current period. Watch for divergence — that signals dilution is actively hurting common shareholders. No color: reference line; Diluted EPS above is the primary metric.</t>
        </is>
      </c>
      <c r="H21" s="10" t="inlineStr">
        <is>
          <t>Per-share profit on common shares only; excludes all dilutive securities</t>
        </is>
      </c>
    </row>
    <row r="22" ht="131" customHeight="1">
      <c r="A22" s="4" t="inlineStr">
        <is>
          <t>Adjusted EBITDA</t>
        </is>
      </c>
      <c r="B22" s="16">
        <f>D22-F22</f>
        <v/>
      </c>
      <c r="C22" s="17">
        <f>IF(F22&lt;&gt;0,(D22-F22)/ABS(F22),"N/A")</f>
        <v/>
      </c>
      <c r="D22" s="7" t="n">
        <v>195.5</v>
      </c>
      <c r="E22" s="8" t="inlineStr">
        <is>
          <t>—</t>
        </is>
      </c>
      <c r="F22" s="7" t="n">
        <v>69.7</v>
      </c>
      <c r="G22" s="9" t="inlineStr">
        <is>
          <t>+181% Y/Y — grew faster than revenue (+138%). Strongest growth rate in the statement. Margin expanded: 21.2% → 25.0% (+380 bps Y/Y). Beat consensus ~$165M by ~$30M (+18%). Add-backs total ~$49.5M: D&amp;A $9.1M, SBC $7.6M, legal settlement $24.6M, distributor termination $4.4M, M&amp;A costs $3.8M, FX -$0.4M. Management's primary operating metric — strips all acquisition noise to show underlying cash earning power of the brand portfolio. The +181% growth vs +138% revenue confirms the business generates cash at an accelerating rate relative to revenue as it scales.</t>
        </is>
      </c>
      <c r="H22" s="10" t="inlineStr">
        <is>
          <t>Cash earning power ex. non-cash and one-time items; management's primary metric</t>
        </is>
      </c>
    </row>
    <row r="23" ht="119.8" customHeight="1">
      <c r="A23" s="23" t="inlineStr">
        <is>
          <t>Adjusted EBITDA Margin</t>
        </is>
      </c>
      <c r="B23" s="33">
        <f>D23-F23</f>
        <v/>
      </c>
      <c r="C23" s="34">
        <f>(D23-F23)*100</f>
        <v/>
      </c>
      <c r="D23" s="35" t="n">
        <v>25</v>
      </c>
      <c r="E23" s="13" t="inlineStr">
        <is>
          <t>—</t>
        </is>
      </c>
      <c r="F23" s="22" t="n">
        <v>21.2</v>
      </c>
      <c r="G23" s="14" t="inlineStr">
        <is>
          <t>+380 bps Y/Y expansion — margin expanded despite absorbing two acquisitions at lower margin profiles. Demonstrates operating leverage at scale. Actual cell colored green: consistent rule — all margin rows get actual colored to match Y/Y color. Green actual = margin expanded Y/Y (positive signal). Contrast with Gross Margin (amber actual) where margin deteriorated — the two together tell the full story: gross margins under pressure from mix, but cash margins expanding from operating leverage. Both signals matter.</t>
        </is>
      </c>
      <c r="H23" s="10" t="inlineStr">
        <is>
          <t>Operating leverage at scale; expanding margin = business becoming more efficient</t>
        </is>
      </c>
    </row>
    <row r="24" ht="133.8" customHeight="1">
      <c r="A24" s="36" t="inlineStr">
        <is>
          <t>Adjusted Diluted EPS</t>
        </is>
      </c>
      <c r="B24" s="31">
        <f>D24-F24</f>
        <v/>
      </c>
      <c r="C24" s="6">
        <f>IF(F24&lt;&gt;0,(D24-F24)/ABS(F24),"N/A")</f>
        <v/>
      </c>
      <c r="D24" s="32" t="n">
        <v>0.41</v>
      </c>
      <c r="E24" s="8" t="inlineStr">
        <is>
          <t>—</t>
        </is>
      </c>
      <c r="F24" s="32" t="n">
        <v>0.18</v>
      </c>
      <c r="G24" s="9" t="inlineStr">
        <is>
          <t>+128% Y/Y — grew slower than revenue (+138%). Amber by framework. Same preferred share dilution dynamic as GAAP EPS affects the denominator even in the non-GAAP calculation. However this is the headline beat of the quarter: $0.41 vs consensus $0.29-0.30, a +37-41% surprise — strongest consensus beat in the statement. Add-backs net of tax: M&amp;A costs +$0.01, distributor termination +$0.01, legal settlement +$0.06. Tax effect of all adjustments: -$0.08/share. Despite amber on the Y/Y framework, the consensus beat signals the market was significantly underestimating Celsius's underlying earnings power.</t>
        </is>
      </c>
      <c r="H24" s="10" t="inlineStr">
        <is>
          <t>Clean per-share earnings ex. one-time items; consensus benchmark for beat/miss</t>
        </is>
      </c>
    </row>
    <row r="26" ht="10" customHeight="1"/>
    <row r="27" ht="18" customHeight="1">
      <c r="A27" s="37" t="inlineStr">
        <is>
          <t>▶  STRENGTHS</t>
        </is>
      </c>
    </row>
    <row r="28" ht="29" customHeight="1">
      <c r="A28" s="38" t="inlineStr">
        <is>
          <t>✓  Record Q1 revenue of $782.6M — +138% Y/Y; portfolio now holds 20.9% of the U.S. RTD energy category, one of the fastest category share gains in beverage history.</t>
        </is>
      </c>
    </row>
    <row r="29" ht="28" customHeight="1">
      <c r="A29" s="38" t="inlineStr">
        <is>
          <t>✓  Adjusted EBITDA +181% Y/Y to $195.5M at a 25.0% margin — strongest growth rate in the statement and proof that cash earnings scale faster than revenue.</t>
        </is>
      </c>
    </row>
    <row r="30" ht="29" customHeight="1">
      <c r="A30" s="38" t="inlineStr">
        <is>
          <t>✓  Operating leverage confirmed across every cost line: SG&amp;A (-650 bps as % of rev), Sales &amp; Marketing (-540 bps), Adj. SG&amp;A (-540 bps Q/Q). Cost discipline is real.</t>
        </is>
      </c>
    </row>
    <row r="31" ht="29" customHeight="1">
      <c r="A31" s="38" t="inlineStr">
        <is>
          <t>✓  Alani Nu integration complete: $50M in synergies captured, distribution fully transitioned into PepsiCo system. One of the fastest beverage integrations on record.</t>
        </is>
      </c>
    </row>
    <row r="32" ht="27" customHeight="1">
      <c r="A32" s="38" t="inlineStr">
        <is>
          <t>✓  International revenue +55% Y/Y organically — no acquisition benefit. Nordics leading; UK, France, Australia/NZ expanding. Clean growth signal.</t>
        </is>
      </c>
    </row>
    <row r="33" ht="28" customHeight="1">
      <c r="A33" s="38" t="inlineStr">
        <is>
          <t>✓  Gross margin improving sequentially: +90 bps Q/Q (47.4% → 48.3%). Direction of travel is correct even if Y/Y comparison is distorted by acquisitions.</t>
        </is>
      </c>
    </row>
    <row r="34" ht="28" customHeight="1">
      <c r="A34" s="38" t="inlineStr">
        <is>
          <t>✓  Adj. EPS $0.41 beat consensus $0.29-0.30 by +37-41% — strongest consensus beat in the statement. Market was significantly underestimating earning power.</t>
        </is>
      </c>
    </row>
    <row r="35" ht="24" customHeight="1">
      <c r="A35" s="38" t="inlineStr">
        <is>
          <t>✓  Tax rate improvement: 27.2% → 19.9% (-730 bps). Acquisition-related deductions providing meaningful tax shield.</t>
        </is>
      </c>
    </row>
    <row r="36" ht="26" customHeight="1">
      <c r="A36" s="38" t="inlineStr">
        <is>
          <t>✓  $24.1M share repurchases in Q1 — management putting capital to work at near 52-week lows, signaling confidence in intrinsic value.</t>
        </is>
      </c>
    </row>
    <row r="38" ht="18" customHeight="1">
      <c r="A38" s="39" t="inlineStr">
        <is>
          <t>▶  CONCERNS</t>
        </is>
      </c>
    </row>
    <row r="39" ht="33" customHeight="1">
      <c r="A39" s="40" t="inlineStr">
        <is>
          <t>✗  Organic CELSIUS brand growth only +6% Y/Y — the entire revenue growth story is inorganic. If CELSIUS brand not back to double digits by Q3-Q4 2026 when acquisitions lap, the thesis weakens materially.</t>
        </is>
      </c>
    </row>
    <row r="40" ht="32" customHeight="1">
      <c r="A40" s="40" t="inlineStr">
        <is>
          <t>✗  Gross margin -400 bps Y/Y (52.3% → 48.3%). Path back to 'low 50s' relies on orbit model, freight optimization, and commodity tailwinds — none of which are guaranteed. Q2 guided flat ('sidestep').</t>
        </is>
      </c>
    </row>
    <row r="41" ht="30" customHeight="1">
      <c r="A41" s="40" t="inlineStr">
        <is>
          <t>✗  New structural interest expense: $11.8M per quarter ($47M annualized) on $696.5M term loan due 2032. Permanent drag on Pre-Tax Income and EPS that did not exist a year ago.</t>
        </is>
      </c>
    </row>
    <row r="42" ht="31" customHeight="1">
      <c r="A42" s="40" t="inlineStr">
        <is>
          <t>✗  PepsiCo preferred stock drains ~$25M per quarter ($100M annually) from common shareholders — a permanent toll that reduces EPS and dilutes on conversion (~78M additional shares).</t>
        </is>
      </c>
    </row>
    <row r="43" ht="29" customHeight="1">
      <c r="A43" s="40" t="inlineStr">
        <is>
          <t>✗  Alani Nu Q1 revenue ($368M) may have been inflated by distributor loading as PepsiCo absorbed the brand — a one-time inventory build that may not repeat in Q2 or Q3.</t>
        </is>
      </c>
    </row>
    <row r="44" ht="30" customHeight="1">
      <c r="A44" s="40" t="inlineStr">
        <is>
          <t>✗  Rockstar Energy retail sales -13% Y/Y in tracked channels. Integration on track for H1 2026 completion but brand trajectory is weak. Rockstar is declining, not growing.</t>
        </is>
      </c>
    </row>
    <row r="45" ht="29" customHeight="1">
      <c r="A45" s="40" t="inlineStr">
        <is>
          <t>✗  Accrued legal expenses $88.2M (Strong Arm Productions litigation) — $24.6M accrued in Q1 alone. Liability overhang and uncertainty around final settlement amount.</t>
        </is>
      </c>
    </row>
    <row r="46" ht="28" customHeight="1">
      <c r="A46" s="40" t="inlineStr">
        <is>
          <t>✗  Customer concentration: PepsiCo = 59% of Q1 revenue and 45.5% of accounts receivable. Any change to the commercial agreement would be catastrophic.</t>
        </is>
      </c>
    </row>
    <row r="47" ht="25" customHeight="1">
      <c r="A47" s="40" t="inlineStr">
        <is>
          <t>✗  Distributor termination fees: $40.0M still accrued. While winding down, cash outflows will continue for several quarters.</t>
        </is>
      </c>
    </row>
    <row r="49" ht="18" customHeight="1">
      <c r="A49" s="41" t="inlineStr">
        <is>
          <t>▶  OVERALL ASSESSMENT</t>
        </is>
      </c>
    </row>
    <row r="50" ht="28" customHeight="1">
      <c r="A50" s="42" t="inlineStr">
        <is>
          <t>Quarter Grade:  B</t>
        </is>
      </c>
    </row>
    <row r="51" ht="193" customHeight="1">
      <c r="A51" s="43" t="inlineStr">
        <is>
          <t>Grade: B. Downgraded from B+ on the basis of three structural issues that B+ does not adequately capture.
Issue 1 — Revenue quality: The headline +138% Y/Y is an optical illusion. Organic CELSIUS brand grew only +6%. The remaining growth is inorganic (acquisitions) and inflated further by a one-time PepsiCo distributor loading event. Normalized Q1 revenue ex-loading is approximately $550-600M — 25-30% below the reported $782.6M. B+ implies the top-line momentum is real and durable. It is not, yet.
Issue 2 — The Q1 2027 comp trap: Q1 2026's inflated $782.6M base creates a structural problem. Even if the underlying business grows normally in Q1 2027 (~$640-720M normalized), it will print as -8% to -18% Y/Y revenue decline. That number will create market confusion and potential multiple compression unless management actively frames it. B+ does not adequately flag this landmine.
Issue 3 — Capital structure: The combined preferred + debt structure permanently redirects ~$136M annually before common shareholders see a dollar ($47M annualized interest on $696.5M term loan + ~$100M preferred distributions). This is not a transient integration cost — it is the ongoing price of the acquisition strategy and will persist until the debt is retired and preferred is converted or bought out.
What B+ requires and what is currently unproven: CELSIUS brand organic reacceleration to double digits, gross margin trajectory back toward 50%, and Q1 2027 framed cleanly vs the inflated base. The operational execution this quarter was genuinely strong — integration, operating leverage, and the consensus beat are all confirmed positives. But execution alone is not enough when the forward setup contains these landmines. See the Forward Outlook tab for the full phase-by-phase growth rate analysis.</t>
        </is>
      </c>
    </row>
    <row r="53" ht="18" customHeight="1">
      <c r="A53" s="41" t="inlineStr">
        <is>
          <t>▶  LETTER GRADE FRAMEWORK — Celsius Holdings, Inc. (CELH)</t>
        </is>
      </c>
    </row>
    <row r="54" ht="36" customHeight="1">
      <c r="A54" s="43" t="inlineStr">
        <is>
          <t>A   Normalized portfolio growth 25%+. CELSIUS brand organic reaccelerates to double digits. Gross margin returns to 50%+. Adj. EBITDA margin above 27%. Q1 2027 comp trap framed cleanly by management. Rockstar stabilizes or sells at value.</t>
        </is>
      </c>
    </row>
    <row r="55" ht="34" customHeight="1">
      <c r="A55" s="43" t="inlineStr">
        <is>
          <t>B+   Normalized portfolio growth 15-25%. CELSIUS brand organic 8-12%. Gross margin recovering toward 50% with visible trajectory. Q1 2027 decline acknowledged and contextualized. Capital structure drag manageable.</t>
        </is>
      </c>
    </row>
    <row r="56" ht="46" customHeight="1">
      <c r="A56" s="43" t="inlineStr">
        <is>
          <t>B   [Q1 2026 — current]   Normalized portfolio growth 8-15%. Operational execution strong, operating leverage confirmed. But organic CELSIUS only +6%, Q1 revenue inflated by ~$190-230M loading, Q1 2027 comp trap unaddressed, and ~$136M annual capital structure drag structural. Show-me quarter: organic reacceleration not yet demonstrated.</t>
        </is>
      </c>
    </row>
    <row r="57" ht="36" customHeight="1">
      <c r="A57" s="43" t="inlineStr">
        <is>
          <t>C   Normalized portfolio growth below 8% or flat. CELSIUS brand loses shelf share. Alani Nu revenue normalizes sharply below $120M/quarter. Gross margin stays below 48%. Adj. EBITDA margin contracts. Legal settlement exceeds accruals.</t>
        </is>
      </c>
    </row>
    <row r="58" ht="35" customHeight="1">
      <c r="A58" s="43" t="inlineStr">
        <is>
          <t>D   Normalized revenue declines. PepsiCo commercial agreement renegotiated adversely. Organic CELSIUS growth negative. Legal liability materially exceeds $88.2M accrual. Acquisition synergies reverse. Debt covenant pressure.</t>
        </is>
      </c>
    </row>
    <row r="60" ht="18" customHeight="1">
      <c r="A60" s="41" t="inlineStr">
        <is>
          <t>▶  KEY METRICS TO WATCH — Q2 2026 (Expected Aug 6-11, 2026)</t>
        </is>
      </c>
    </row>
    <row r="61" ht="29" customHeight="1">
      <c r="A61" s="44" t="inlineStr">
        <is>
          <t>① CELSIUS Brand Organic Growth Rate — must show reacceleration toward double digits as Alani lapping begins. Single most important data point for the long-term thesis.</t>
        </is>
      </c>
    </row>
    <row r="62" ht="29" customHeight="1">
      <c r="A62" s="44" t="inlineStr">
        <is>
          <t>② Gross Margin — Q2 guided flat to Q1 (~48.3%). Any print above 49% = positive surprise. Any print below 47% = timeline to 'low 50s' extends into 2027 or beyond.</t>
        </is>
      </c>
    </row>
    <row r="63" ht="29" customHeight="1">
      <c r="A63" s="44" t="inlineStr">
        <is>
          <t>③ Alani Nu Revenue — watch for normalization from Q1's $368M. A significant Q/Q decline would confirm Q1 was inflated by distributor loading, not pure consumer demand.</t>
        </is>
      </c>
    </row>
    <row r="64" ht="26" customHeight="1">
      <c r="A64" s="44" t="inlineStr">
        <is>
          <t>④ Rockstar Integration Completion — management guided H1 2026. Confirm on track and watch for early velocity improvements post-reset.</t>
        </is>
      </c>
    </row>
    <row r="65" ht="28" customHeight="1">
      <c r="A65" s="44" t="inlineStr">
        <is>
          <t>⑤ Adj. SG&amp;A % of Revenue — Q1 was 26.4%, down from Q4's 31.8%. Continued improvement toward 25% confirms operating leverage is structural, not seasonal.</t>
        </is>
      </c>
    </row>
    <row r="66" ht="25" customHeight="1">
      <c r="A66" s="44" t="inlineStr">
        <is>
          <t>⑥ Adj. EBITDA Margin — Q1 was 25.0%. Watch for expansion toward 26-27% as orbit model and freight improvements take hold.</t>
        </is>
      </c>
    </row>
    <row r="67" ht="25" customHeight="1">
      <c r="A67" s="44" t="inlineStr">
        <is>
          <t>⑦ Legal Settlement Update — $88.2M accrued for Strong Arm litigation. Any resolution or incremental accrual will be material.</t>
        </is>
      </c>
    </row>
    <row r="68" ht="31" customHeight="1">
      <c r="A68" s="44" t="inlineStr">
        <is>
          <t>⑧ PepsiCo Preferred — watch for any conversion activity or changes to the preferred stock terms. Conversion would dilute common shareholders but eliminate the quarterly $25M drain.</t>
        </is>
      </c>
    </row>
    <row r="69" ht="27" customHeight="1">
      <c r="A69" s="44" t="inlineStr">
        <is>
          <t>⑨ Share Repurchase Activity — management bought $24.1M in Q1 near 52-week lows. Continuation signals sustained confidence; pause signals caution.</t>
        </is>
      </c>
    </row>
    <row r="71" ht="18" customHeight="1">
      <c r="A71" s="45" t="inlineStr">
        <is>
          <t>Source: Celsius Holdings, Inc. Q1 2026 Earnings Press Release (May 7, 2026)  |  https://s203.q4cdn.com/427437840/files/doc_financials/2026/q1/v3/Celsius-Holdings-Q1-2026__Earnings-Press-Release.pdf  |  Estimates: Zacks, TIKR, Investing.com  |  Analysis built: May 2026  |  Script: build_celh_income_v1.py  |  Not investment advice.</t>
        </is>
      </c>
    </row>
  </sheetData>
  <mergeCells count="42">
    <mergeCell ref="A67:H67"/>
    <mergeCell ref="A30:H30"/>
    <mergeCell ref="A39:H39"/>
    <mergeCell ref="A51:H51"/>
    <mergeCell ref="A64:H64"/>
    <mergeCell ref="A60:H60"/>
    <mergeCell ref="A36:H36"/>
    <mergeCell ref="A49:H49"/>
    <mergeCell ref="A1:H1"/>
    <mergeCell ref="A45:H45"/>
    <mergeCell ref="A61:H61"/>
    <mergeCell ref="A69:H69"/>
    <mergeCell ref="A65:H65"/>
    <mergeCell ref="A54:H54"/>
    <mergeCell ref="A41:H41"/>
    <mergeCell ref="A66:H66"/>
    <mergeCell ref="A46:H46"/>
    <mergeCell ref="A27:H27"/>
    <mergeCell ref="A50:H50"/>
    <mergeCell ref="A56:H56"/>
    <mergeCell ref="A55:H55"/>
    <mergeCell ref="A57:H57"/>
    <mergeCell ref="A2:H2"/>
    <mergeCell ref="A71:H71"/>
    <mergeCell ref="A42:H42"/>
    <mergeCell ref="A33:H33"/>
    <mergeCell ref="A47:H47"/>
    <mergeCell ref="A32:H32"/>
    <mergeCell ref="A62:H62"/>
    <mergeCell ref="A53:H53"/>
    <mergeCell ref="A29:H29"/>
    <mergeCell ref="A35:H35"/>
    <mergeCell ref="A34:H34"/>
    <mergeCell ref="A43:H43"/>
    <mergeCell ref="A38:H38"/>
    <mergeCell ref="A63:H63"/>
    <mergeCell ref="A28:H28"/>
    <mergeCell ref="A68:H68"/>
    <mergeCell ref="A44:H44"/>
    <mergeCell ref="A31:H31"/>
    <mergeCell ref="A58:H58"/>
    <mergeCell ref="A40:H40"/>
  </mergeCells>
  <pageMargins left="0.75" right="0.75" top="1" bottom="1" header="0.5" footer="0.5"/>
</worksheet>
</file>

<file path=xl/worksheets/sheet2.xml><?xml version="1.0" encoding="utf-8"?>
<worksheet xmlns="http://schemas.openxmlformats.org/spreadsheetml/2006/main">
  <sheetPr>
    <tabColor rgb="00006B6B"/>
    <outlinePr summaryBelow="1" summaryRight="1"/>
    <pageSetUpPr/>
  </sheetPr>
  <dimension ref="A1:E11"/>
  <sheetViews>
    <sheetView workbookViewId="0">
      <selection activeCell="A1" sqref="A1"/>
    </sheetView>
  </sheetViews>
  <sheetFormatPr baseColWidth="8" defaultRowHeight="15"/>
  <cols>
    <col width="20" customWidth="1" min="1" max="1"/>
    <col width="38" customWidth="1" min="2" max="2"/>
    <col width="13" customWidth="1" min="3" max="3"/>
    <col width="52" customWidth="1" min="4" max="4"/>
    <col width="42" customWidth="1" min="5" max="5"/>
  </cols>
  <sheetData>
    <row r="1" ht="24" customHeight="1">
      <c r="A1" s="1" t="inlineStr">
        <is>
          <t>Celsius Holdings, Inc. (CELH) — Q1 2026 INCOME STATEMENT — DATA SOURCES</t>
        </is>
      </c>
    </row>
    <row r="2" ht="24" customHeight="1">
      <c r="A2" s="3" t="inlineStr">
        <is>
          <t>Category</t>
        </is>
      </c>
      <c r="B2" s="3" t="inlineStr">
        <is>
          <t>Source</t>
        </is>
      </c>
      <c r="C2" s="3" t="inlineStr">
        <is>
          <t>Date</t>
        </is>
      </c>
      <c r="D2" s="3" t="inlineStr">
        <is>
          <t>Key Data Used</t>
        </is>
      </c>
      <c r="E2" s="3" t="inlineStr">
        <is>
          <t>Reference / URL</t>
        </is>
      </c>
    </row>
    <row r="3" ht="48" customHeight="1">
      <c r="A3" s="46" t="inlineStr">
        <is>
          <t>Primary Data</t>
        </is>
      </c>
      <c r="B3" s="46" t="inlineStr">
        <is>
          <t>Celsius Holdings, Inc. Q1 2026 Earnings Press Release</t>
        </is>
      </c>
      <c r="C3" s="47" t="inlineStr">
        <is>
          <t>May 7, 2026</t>
        </is>
      </c>
      <c r="D3" s="48" t="inlineStr">
        <is>
          <t>All Q1 2026 actuals: Revenue $782.6M, Gross Margin 48.3%, Income from Operations $139.0M, Net Income $110.1M, Net Income to Common $85.1M, Diluted EPS $0.33, Adj. EBITDA $195.5M. Quarter ended March 31, 2026.</t>
        </is>
      </c>
      <c r="E3" s="49" t="inlineStr">
        <is>
          <t>https://s203.q4cdn.com/427437840/files/doc_financials/2026/q1/v3/Celsius-Holdings-Q1-2026__Earnings-Press-Release.pdf</t>
        </is>
      </c>
    </row>
    <row r="4" ht="48" customHeight="1">
      <c r="A4" s="50" t="inlineStr">
        <is>
          <t>Comparison Data</t>
        </is>
      </c>
      <c r="B4" s="50" t="inlineStr">
        <is>
          <t>Celsius Holdings, Inc. Q1 2025 Earnings Press Release</t>
        </is>
      </c>
      <c r="C4" s="51" t="inlineStr">
        <is>
          <t>May 2025</t>
        </is>
      </c>
      <c r="D4" s="52" t="inlineStr">
        <is>
          <t>Q1 2025 figures used for all Y/Y change calculations: Revenue $329.3M, Gross Margin 52.3%, Income from Operations $52.0M, Net Income $44.4M, Net Income to Common $34.4M, Diluted EPS $0.15, Adj. EBITDA $69.7M.</t>
        </is>
      </c>
      <c r="E4" s="53" t="inlineStr">
        <is>
          <t>https://investor.celsiusholdingsinc.com/news-releases</t>
        </is>
      </c>
    </row>
    <row r="5" ht="52" customHeight="1">
      <c r="A5" s="46" t="inlineStr">
        <is>
          <t>Strategic</t>
        </is>
      </c>
      <c r="B5" s="46" t="inlineStr">
        <is>
          <t>PepsiCo Distribution Agreement</t>
        </is>
      </c>
      <c r="C5" s="47" t="inlineStr">
        <is>
          <t>Aug 1, 2022</t>
        </is>
      </c>
      <c r="D5" s="48" t="inlineStr">
        <is>
          <t>Exclusive North American distribution of CELSIUS brand through PepsiCo DSD network. PepsiCo = 59% of Q1 2026 revenue and 45.5% of accounts receivable. Key risk: customer concentration. Agreement expanded to cover Alani Nu in 2025.</t>
        </is>
      </c>
      <c r="E5" s="49" t="inlineStr">
        <is>
          <t>Celsius Holdings 10-K / 8-K filings — SEC EDGAR</t>
        </is>
      </c>
    </row>
    <row r="6" ht="72" customHeight="1">
      <c r="A6" s="50" t="inlineStr">
        <is>
          <t>Strategic</t>
        </is>
      </c>
      <c r="B6" s="50" t="inlineStr">
        <is>
          <t>PepsiCo Convertible Preferred Stock — Series A &amp; B</t>
        </is>
      </c>
      <c r="C6" s="51" t="inlineStr">
        <is>
          <t>2025</t>
        </is>
      </c>
      <c r="D6" s="52" t="inlineStr">
        <is>
          <t>PepsiCo holds Series A and B convertible preferred stock issued to co-finance Alani Nu and Rockstar acquisitions. ~$25M per quarter deducted from common earnings ($14.0M preferred dividends + $11.0M participating income allocation). Convertible to ~78M common shares (~334M fully diluted). Double EPS drag: numerator reduction + denominator expansion.</t>
        </is>
      </c>
      <c r="E6" s="53" t="inlineStr">
        <is>
          <t>Celsius Holdings 8-K filings and Q1 2026 Earnings Press Release</t>
        </is>
      </c>
    </row>
    <row r="7" ht="72" customHeight="1">
      <c r="A7" s="46" t="inlineStr">
        <is>
          <t>Strategic</t>
        </is>
      </c>
      <c r="B7" s="46" t="inlineStr">
        <is>
          <t>Alani Nu Acquisition</t>
        </is>
      </c>
      <c r="C7" s="47" t="inlineStr">
        <is>
          <t>2025</t>
        </is>
      </c>
      <c r="D7" s="48" t="inlineStr">
        <is>
          <t>Largest acquisition in Celsius history. $368M revenue contribution in Q1 2026. Integration complete in Q1 2026: $50M synergies captured, distribution fully in PepsiCo DSD system. Distributor termination fee balance: $40.0M remaining (down from $264.1M original). Carries lower gross margins than core CELSIUS — primary driver of 48.3% blended margin.</t>
        </is>
      </c>
      <c r="E7" s="49" t="inlineStr">
        <is>
          <t>Celsius Holdings 8-K and Q1 2026 Earnings Press Release</t>
        </is>
      </c>
    </row>
    <row r="8" ht="68" customHeight="1">
      <c r="A8" s="50" t="inlineStr">
        <is>
          <t>Strategic</t>
        </is>
      </c>
      <c r="B8" s="50" t="inlineStr">
        <is>
          <t>Rockstar Energy Acquisition</t>
        </is>
      </c>
      <c r="C8" s="51" t="inlineStr">
        <is>
          <t>Q4 2025</t>
        </is>
      </c>
      <c r="D8" s="52" t="inlineStr">
        <is>
          <t>$67M revenue contribution in Q1 2026 (declining brand: retail -13% Y/Y tracked channels). Integration targeted for H1 2026 completion. Orbit model and freight optimization targeted to improve acquired margin profile. $696.5M term loan (due 2032) funds Alani Nu + Rockstar — creates $11.8M/quarter permanent interest expense.</t>
        </is>
      </c>
      <c r="E8" s="53" t="inlineStr">
        <is>
          <t>Celsius Holdings 8-K and Q1 2026 Earnings Press Release</t>
        </is>
      </c>
    </row>
    <row r="9" ht="51" customHeight="1">
      <c r="A9" s="46" t="inlineStr">
        <is>
          <t>Legal</t>
        </is>
      </c>
      <c r="B9" s="46" t="inlineStr">
        <is>
          <t>Strong Arm Productions Litigation</t>
        </is>
      </c>
      <c r="C9" s="47" t="inlineStr">
        <is>
          <t>Q1 2026</t>
        </is>
      </c>
      <c r="D9" s="48" t="inlineStr">
        <is>
          <t>$24.6M accrued in Q1 2026. Total accrual: $88.2M. Ongoing litigation; final settlement amount uncertain. Included in GAAP G&amp;A; excluded from Adj. EBITDA add-backs. Material overhang — resolution will be a significant event.</t>
        </is>
      </c>
      <c r="E9" s="49" t="inlineStr">
        <is>
          <t>Celsius Holdings Q1 2026 10-Q / Earnings Press Release</t>
        </is>
      </c>
    </row>
    <row r="10" ht="58" customHeight="1">
      <c r="A10" s="50" t="inlineStr">
        <is>
          <t>Guidance</t>
        </is>
      </c>
      <c r="B10" s="50" t="inlineStr">
        <is>
          <t>Celsius Holdings, Inc. Q2 2026 Management Commentary</t>
        </is>
      </c>
      <c r="C10" s="51" t="inlineStr">
        <is>
          <t>May 7, 2026</t>
        </is>
      </c>
      <c r="D10" s="52" t="inlineStr">
        <is>
          <t>Q2 2026 gross margin guided flat to Q1 (~48.3%) — management called it a 'sidestep'. No explicit Q2 revenue guidance provided. Step-up expected Q3-Q4 via orbit model, freight optimization, raw material alignment. North Carolina second manufacturing line begins H2 2026.</t>
        </is>
      </c>
      <c r="E10" s="53" t="inlineStr">
        <is>
          <t>Celsius Holdings Q1 2026 Earnings Call (May 7, 2026)</t>
        </is>
      </c>
    </row>
    <row r="11" ht="51" customHeight="1">
      <c r="A11" s="46" t="inlineStr">
        <is>
          <t>Consensus</t>
        </is>
      </c>
      <c r="B11" s="46" t="inlineStr">
        <is>
          <t>Analyst Consensus Estimates</t>
        </is>
      </c>
      <c r="C11" s="47" t="inlineStr">
        <is>
          <t>May 2026</t>
        </is>
      </c>
      <c r="D11" s="48" t="inlineStr">
        <is>
          <t>Q1 2026 consensus: Revenue ~$710M, Diluted EPS ~$0.28, Adj. EBITDA ~$165M, Adj. EPS ~$0.29-0.30. Actual beats: Revenue +10%, GAAP EPS +17.9%, Adj. EBITDA +18%, Adj. EPS +37-41%. Adj. EPS beat was headline metric of the quarter.</t>
        </is>
      </c>
      <c r="E11" s="49" t="inlineStr">
        <is>
          <t>Zacks Investment Research, TIKR, Investing.com</t>
        </is>
      </c>
    </row>
  </sheetData>
  <mergeCells count="1">
    <mergeCell ref="A1:E1"/>
  </mergeCells>
  <pageMargins left="0.75" right="0.75" top="1" bottom="1" header="0.5" footer="0.5"/>
</worksheet>
</file>

<file path=xl/worksheets/sheet3.xml><?xml version="1.0" encoding="utf-8"?>
<worksheet xmlns="http://schemas.openxmlformats.org/spreadsheetml/2006/main">
  <sheetPr>
    <tabColor rgb="00E67300"/>
    <outlinePr summaryBelow="1" summaryRight="1"/>
    <pageSetUpPr/>
  </sheetPr>
  <dimension ref="A1:C10"/>
  <sheetViews>
    <sheetView workbookViewId="0">
      <selection activeCell="A1" sqref="A1"/>
    </sheetView>
  </sheetViews>
  <sheetFormatPr baseColWidth="8" defaultRowHeight="15"/>
  <cols>
    <col width="2" customWidth="1" min="1" max="1"/>
    <col width="30" customWidth="1" min="2" max="2"/>
    <col width="110" customWidth="1" min="3" max="3"/>
  </cols>
  <sheetData>
    <row r="1" ht="24" customHeight="1">
      <c r="A1" s="1" t="inlineStr">
        <is>
          <t>Celsius Holdings, Inc. (CELH) — Q1 2026 INCOME STATEMENT — WHAT'S NEW</t>
        </is>
      </c>
    </row>
    <row r="2" ht="16" customHeight="1">
      <c r="A2" s="54" t="inlineStr">
        <is>
          <t>Key developments and changes in Q1 2026  |  Script v1: refactored from build_celsius_simple_v4_final.py to AMD income pattern  |  Next update → build_celh_income_v2.py</t>
        </is>
      </c>
    </row>
    <row r="3" ht="16" customHeight="1">
      <c r="A3" s="55" t="inlineStr"/>
      <c r="B3" s="55" t="inlineStr">
        <is>
          <t>Development</t>
        </is>
      </c>
      <c r="C3" s="55" t="inlineStr">
        <is>
          <t>Detail</t>
        </is>
      </c>
    </row>
    <row r="4" ht="63" customHeight="1">
      <c r="A4" s="56" t="n"/>
      <c r="B4" s="57" t="inlineStr">
        <is>
          <t>Alani Nu Integration Complete</t>
        </is>
      </c>
      <c r="C4" s="58" t="inlineStr">
        <is>
          <t>Alani Nu integration declared complete in Q1 2026. $50M in synergies captured — one of the fastest beverage acquisitions in recent memory. Distribution fully transitioned into PepsiCo DSD system. $368M revenue contribution in Q1 2026. Distributor termination fee balance reduced from $264.1M to $40.0M remaining — wind-down well advanced. Key risk: Q1 distributor loading may have inflated revenue vs true consumer demand. Q3-Q4 2026 is the real organic growth test as the acquisition laps.</t>
        </is>
      </c>
    </row>
    <row r="5" ht="54" customHeight="1">
      <c r="A5" s="59" t="n"/>
      <c r="B5" s="60" t="inlineStr">
        <is>
          <t>Rockstar Energy Integration</t>
        </is>
      </c>
      <c r="C5" s="61" t="inlineStr">
        <is>
          <t>Rockstar acquisition closed Q4 2025 with a $696.5M term loan (due 2032). Q1 2026 contribution: $67M. Retail tracked channels -13% Y/Y — brand in decline. Integration targeted for H1 2026 completion. Orbit model and freight optimization targeted to align Rockstar cost structure with CELSIUS margins. H2 2026 is when first brand recovery signals are expected. Rockstar is the riskiest asset in the portfolio.</t>
        </is>
      </c>
    </row>
    <row r="6" ht="70" customHeight="1">
      <c r="A6" s="56" t="n"/>
      <c r="B6" s="57" t="inlineStr">
        <is>
          <t>PepsiCo Preferred Stock — Series A &amp; B</t>
        </is>
      </c>
      <c r="C6" s="58" t="inlineStr">
        <is>
          <t>PepsiCo holds convertible preferred stock (Series A and Series B) issued to co-finance the Alani Nu and Rockstar acquisitions. Impact in Q1 2026: ~$25M per quarter deducted before common shareholders ($14.0M preferred dividends + $11.0M income allocation). PepsiCo can convert to ~78M common shares, expanding diluted count from 256M to ~334M. This structure is permanent — ~$100M annually — until conversion or buyout occurs. Always use 'Net Income to Common Shareholders' ($85.1M), not 'Net Income' ($110.1M), when evaluating CELH as a common equity investment.</t>
        </is>
      </c>
    </row>
    <row r="7" ht="53" customHeight="1">
      <c r="A7" s="59" t="n"/>
      <c r="B7" s="60" t="inlineStr">
        <is>
          <t>Strong Arm Productions Litigation</t>
        </is>
      </c>
      <c r="C7" s="61" t="inlineStr">
        <is>
          <t>Celsius accrued $24.6M in Q1 2026 for the Strong Arm Productions litigation, bringing the total accrual to $88.2M. Final settlement amount remains uncertain. This is a material overhang — $88.2M represents roughly one quarter of Adj. EBITDA. Accrual included in GAAP G&amp;A and excluded from Adj. EBITDA add-backs. Resolution (win, settle, or adverse judgment) will be a major event when it arrives.</t>
        </is>
      </c>
    </row>
    <row r="8" ht="47" customHeight="1">
      <c r="A8" s="56" t="n"/>
      <c r="B8" s="57" t="inlineStr">
        <is>
          <t>Share Repurchase Program</t>
        </is>
      </c>
      <c r="C8" s="58" t="inlineStr">
        <is>
          <t>$24.1M in shares repurchased in Q1 2026 at prices near 52-week lows — management signaling confidence in intrinsic value. Buybacks partially offset the dilutive effect of SBC and warrant activity. Given the PepsiCo conversion overhang (~78M shares), buyback pace matters for EPS trajectory. Continuation in Q2 would reinforce conviction.</t>
        </is>
      </c>
    </row>
    <row r="9" ht="48" customHeight="1">
      <c r="A9" s="59" t="n"/>
      <c r="B9" s="60" t="inlineStr">
        <is>
          <t>North Carolina Manufacturing Line — H2 2026</t>
        </is>
      </c>
      <c r="C9" s="61" t="inlineStr">
        <is>
          <t>Second manufacturing line at the North Carolina facility expected online H2 2026. Full production benefit expected in 2027. Key enabler of the orbit model — reducing third-party co-packing costs and improving gross margin structurally over time. Not a 2026 gross margin driver, but a meaningful 2027+ tailwind to the margin recovery thesis.</t>
        </is>
      </c>
    </row>
    <row r="10" ht="80" customHeight="1">
      <c r="A10" s="56" t="n"/>
      <c r="B10" s="57" t="inlineStr">
        <is>
          <t>Script v1 — Refactored to AMD Income Pattern</t>
        </is>
      </c>
      <c r="C10" s="58" t="inlineStr">
        <is>
          <t>build_celh_income_v1.py refactored from build_celsius_simple_v4_final.py. Changes: explicit DATA BLOCK at top for easy quarterly updates; Data Sources tab added (tabulates all primary and comparison data sources); What's New tab added (this tab — key developments each quarter); TABLE_BORDER added to all data rows for visual alignment; tab colors added (Income Statement=navy, Data Sources=teal, What's New=orange); self-test upgraded to verify all 3 tabs, grade, revenue figure, and key references. All financial data and analysis from build_celsius_simple_v4_final.py preserved exactly. Next quarterly update → build_celh_income_v2.py (never overwrite this file).</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tabColor rgb="006B2D8B"/>
    <outlinePr summaryBelow="1" summaryRight="1"/>
    <pageSetUpPr/>
  </sheetPr>
  <dimension ref="A1:H43"/>
  <sheetViews>
    <sheetView workbookViewId="0">
      <selection activeCell="A1" sqref="A1"/>
    </sheetView>
  </sheetViews>
  <sheetFormatPr baseColWidth="8" defaultRowHeight="15"/>
  <cols>
    <col width="2" customWidth="1" min="1" max="1"/>
    <col width="28" customWidth="1" min="2" max="2"/>
    <col width="15" customWidth="1" min="3" max="3"/>
    <col width="15" customWidth="1" min="4" max="4"/>
    <col width="15" customWidth="1" min="5" max="5"/>
    <col width="15" customWidth="1" min="6" max="6"/>
    <col width="15" customWidth="1" min="7" max="7"/>
    <col width="46" customWidth="1" min="8" max="8"/>
  </cols>
  <sheetData>
    <row r="1" ht="24" customHeight="1">
      <c r="A1" s="1" t="inlineStr">
        <is>
          <t>Celsius Holdings, Inc. (CELH) — FORWARD GROWTH OUTLOOK &amp; NORMALIZED REVENUE ANALYSIS</t>
        </is>
      </c>
    </row>
    <row r="2" ht="16" customHeight="1">
      <c r="A2" s="54" t="inlineStr">
        <is>
          <t>Why B and not B+  |  Phase-by-phase growth rate analysis  |  Grade framework anchored to normalized growth, not the 783M reported figure  |  See Income Statement tab for line-item detail</t>
        </is>
      </c>
    </row>
    <row r="3" ht="18" customHeight="1">
      <c r="A3" s="41" t="inlineStr">
        <is>
          <t>▶  SECTION 1 — Q1 2026 REVENUE: REPORTED vs NORMALIZED</t>
        </is>
      </c>
    </row>
    <row r="4" ht="36" customHeight="1">
      <c r="A4" s="62" t="inlineStr">
        <is>
          <t>Distributor loading = PepsiCo's DSD network stocking up with Alani Nu inventory before consumer pull-through begins. This is a one-time event: revenue recognized when product ships to distributors, not when consumers buy it. True demand = consumer pull-through rate, which is much lower in Q1.</t>
        </is>
      </c>
    </row>
    <row r="5" ht="28" customHeight="1">
      <c r="A5" s="3" t="inlineStr"/>
      <c r="B5" s="3" t="inlineStr">
        <is>
          <t>Component</t>
        </is>
      </c>
      <c r="C5" s="3" t="inlineStr">
        <is>
          <t>Q1 2026 Reported ($M)</t>
        </is>
      </c>
      <c r="D5" s="3" t="inlineStr">
        <is>
          <t>Est. Loading ($M)</t>
        </is>
      </c>
      <c r="E5" s="3" t="inlineStr">
        <is>
          <t>Normalized ($M)</t>
        </is>
      </c>
      <c r="F5" s="3" t="inlineStr"/>
      <c r="G5" s="63" t="n"/>
      <c r="H5" s="3" t="inlineStr">
        <is>
          <t>Notes</t>
        </is>
      </c>
    </row>
    <row r="6" ht="28" customHeight="1">
      <c r="A6" s="56" t="n"/>
      <c r="B6" s="64" t="inlineStr">
        <is>
          <t>CELSIUS brand (organic)</t>
        </is>
      </c>
      <c r="C6" s="65" t="inlineStr">
        <is>
          <t>$325M</t>
        </is>
      </c>
      <c r="D6" s="65" t="inlineStr">
        <is>
          <t>$0M</t>
        </is>
      </c>
      <c r="E6" s="65" t="inlineStr">
        <is>
          <t>$325M</t>
        </is>
      </c>
      <c r="H6" s="66" t="inlineStr">
        <is>
          <t>+6% Y/Y organic on $306.5M Q1 2025 base. No loading effect — direct-to-consumer brand.</t>
        </is>
      </c>
    </row>
    <row r="7" ht="38" customHeight="1">
      <c r="A7" s="59" t="n"/>
      <c r="B7" s="67" t="inlineStr">
        <is>
          <t>Alani Nu</t>
        </is>
      </c>
      <c r="C7" s="68" t="inlineStr">
        <is>
          <t>$368M</t>
        </is>
      </c>
      <c r="D7" s="69" t="inlineStr">
        <is>
          <t>$210M</t>
        </is>
      </c>
      <c r="E7" s="68" t="inlineStr">
        <is>
          <t>$158M</t>
        </is>
      </c>
      <c r="H7" s="70" t="inlineStr">
        <is>
          <t>~$500M annual pre-acquisition rate = ~$125M/quarter consumer pull. PepsiCo distribution expansion adds ~$30-55M lift → ~$140-180M sustainable. Implies ~$190-230M loading; midpoint ~$210M used here.</t>
        </is>
      </c>
    </row>
    <row r="8" ht="28" customHeight="1">
      <c r="A8" s="56" t="n"/>
      <c r="B8" s="64" t="inlineStr">
        <is>
          <t>Rockstar</t>
        </is>
      </c>
      <c r="C8" s="65" t="inlineStr">
        <is>
          <t>$67M</t>
        </is>
      </c>
      <c r="D8" s="65" t="inlineStr">
        <is>
          <t>$0M</t>
        </is>
      </c>
      <c r="E8" s="65" t="inlineStr">
        <is>
          <t>$67M</t>
        </is>
      </c>
      <c r="H8" s="66" t="inlineStr">
        <is>
          <t>Retail tracked channels -13% Y/Y. No loading effect; acquisition is a declining brand.</t>
        </is>
      </c>
    </row>
    <row r="9" ht="28" customHeight="1">
      <c r="A9" s="59" t="n"/>
      <c r="B9" s="67" t="inlineStr">
        <is>
          <t>International</t>
        </is>
      </c>
      <c r="C9" s="68" t="inlineStr">
        <is>
          <t>$35M</t>
        </is>
      </c>
      <c r="D9" s="68" t="inlineStr">
        <is>
          <t>$0M</t>
        </is>
      </c>
      <c r="E9" s="68" t="inlineStr">
        <is>
          <t>$35M</t>
        </is>
      </c>
      <c r="H9" s="70" t="inlineStr">
        <is>
          <t>Organic +55% Y/Y. No loading — direct consumer markets. Clean growth signal.</t>
        </is>
      </c>
    </row>
    <row r="10" ht="28" customHeight="1">
      <c r="A10" s="71" t="n"/>
      <c r="B10" s="72" t="inlineStr">
        <is>
          <t>TOTAL</t>
        </is>
      </c>
      <c r="C10" s="73" t="inlineStr">
        <is>
          <t>~$782M</t>
        </is>
      </c>
      <c r="D10" s="73" t="inlineStr">
        <is>
          <t>~$210M</t>
        </is>
      </c>
      <c r="E10" s="73" t="inlineStr">
        <is>
          <t>~$572M</t>
        </is>
      </c>
      <c r="H10" s="74" t="inlineStr">
        <is>
          <t>Normalized total implies ~27% reported figure was one-time loading.</t>
        </is>
      </c>
    </row>
    <row r="12" ht="18" customHeight="1">
      <c r="A12" s="41" t="inlineStr">
        <is>
          <t>▶  SECTION 2 — PHASE-BY-PHASE FORWARD GROWTH RATE ANALYSIS</t>
        </is>
      </c>
    </row>
    <row r="13" ht="28" customHeight="1">
      <c r="A13" s="3" t="inlineStr"/>
      <c r="B13" s="3" t="inlineStr">
        <is>
          <t>Phase</t>
        </is>
      </c>
      <c r="C13" s="3" t="inlineStr">
        <is>
          <t>Period</t>
        </is>
      </c>
      <c r="D13" s="3" t="inlineStr">
        <is>
          <t>Y/Y Growth (reported)</t>
        </is>
      </c>
      <c r="E13" s="3" t="inlineStr">
        <is>
          <t>Y/Y Growth (reality)</t>
        </is>
      </c>
      <c r="F13" s="3" t="inlineStr"/>
      <c r="G13" s="63" t="n"/>
      <c r="H13" s="3" t="inlineStr">
        <is>
          <t>Key Risk / Watch</t>
        </is>
      </c>
    </row>
    <row r="14" ht="42" customHeight="1">
      <c r="A14" s="75" t="n"/>
      <c r="B14" s="76" t="inlineStr">
        <is>
          <t>Phase 1</t>
        </is>
      </c>
      <c r="C14" s="76" t="inlineStr">
        <is>
          <t>Q2 2026</t>
        </is>
      </c>
      <c r="D14" s="77" t="inlineStr">
        <is>
          <t>+60-80% Y/Y</t>
        </is>
      </c>
      <c r="E14" s="78" t="inlineStr">
        <is>
          <t>Significant sequential decline ($747M → ~$570-630M NA). Y/Y looks high only because Q2 2025 was pre-acquisition.</t>
        </is>
      </c>
      <c r="H14" s="79" t="inlineStr">
        <is>
          <t>⚠ Did Alani Nu loading reverse sharply? Watch Alani Nu sequential revenue.</t>
        </is>
      </c>
    </row>
    <row r="15" ht="42" customHeight="1">
      <c r="A15" s="80" t="n"/>
      <c r="B15" s="81" t="inlineStr">
        <is>
          <t>Phase 2</t>
        </is>
      </c>
      <c r="C15" s="81" t="inlineStr">
        <is>
          <t>Q3–Q4 2026</t>
        </is>
      </c>
      <c r="D15" s="82" t="inlineStr">
        <is>
          <t>+40-60% Y/Y</t>
        </is>
      </c>
      <c r="E15" s="83" t="inlineStr">
        <is>
          <t>Still elevated Y/Y because comps are pre-acquisition. But sequential should stabilize as loading fully clears by Q3.</t>
        </is>
      </c>
      <c r="H15" s="84" t="inlineStr">
        <is>
          <t>⚠ CELSIUS brand must show double-digit organic growth as acquisition laps begin.</t>
        </is>
      </c>
    </row>
    <row r="16" ht="52" customHeight="1">
      <c r="A16" s="85" t="n"/>
      <c r="B16" s="86" t="inlineStr">
        <is>
          <t>Phase 3 ⚡</t>
        </is>
      </c>
      <c r="C16" s="86" t="inlineStr">
        <is>
          <t>Q1 2027</t>
        </is>
      </c>
      <c r="D16" s="87" t="inlineStr">
        <is>
          <t>-8% to -20% Y/Y</t>
        </is>
      </c>
      <c r="E16" s="88" t="inlineStr">
        <is>
          <t>THE DANGER QUARTER. Comparing against inflated $782.6M. If CELSIUS stays at 6% organic: ~$626M reported = -20% Y/Y (see Section 2B). If CELSIUS reaccelerates to 12%: ~$720M = -8% Y/Y. Either way the reported number is negative — a +9% normalized business looks broken.</t>
        </is>
      </c>
      <c r="H16" s="89" t="inlineStr">
        <is>
          <t>🚨 Management MUST pre-frame Q1 2027 comp on Q4 2026 call or stock will crater.</t>
        </is>
      </c>
    </row>
    <row r="17" ht="42" customHeight="1">
      <c r="A17" s="75" t="n"/>
      <c r="B17" s="76" t="inlineStr">
        <is>
          <t>Phase 4</t>
        </is>
      </c>
      <c r="C17" s="76" t="inlineStr">
        <is>
          <t>2027+ (fully lapped)</t>
        </is>
      </c>
      <c r="D17" s="77" t="inlineStr">
        <is>
          <t>~15-25% Y/Y</t>
        </is>
      </c>
      <c r="E17" s="78" t="inlineStr">
        <is>
          <t>Sustainable blended rate: CELSIUS organic 10-15% + Alani Nu maturation 10-20% + Rockstar flat/-5% + International 40-60% (small). This is the real business growth rate once all noise clears.</t>
        </is>
      </c>
      <c r="H17" s="79" t="inlineStr">
        <is>
          <t>✓ If CELSIUS organic is back to double digits by Q2 2027, the thesis is intact.</t>
        </is>
      </c>
    </row>
    <row r="19" ht="18" customHeight="1">
      <c r="A19" s="39" t="inlineStr">
        <is>
          <t>▶  SECTION 2B — Q1 2027 DETAILED SCENARIO: PERCEPTION vs REALITY GAP (CELSIUS organic at 6%)</t>
        </is>
      </c>
    </row>
    <row r="20" ht="40" customHeight="1">
      <c r="A20" s="62" t="inlineStr">
        <is>
          <t>If CELSIUS organic growth stays at 6% through Q1 2027, the component table below shows what each brand contributes and the resulting perception vs reality gap. The reported Y/Y will look like a business in serious decline. The normalized Y/Y will show a business that grew +9%. The 29-point gap between those two numbers is the core forward risk.</t>
        </is>
      </c>
    </row>
    <row r="21" ht="28" customHeight="1">
      <c r="A21" s="3" t="inlineStr"/>
      <c r="B21" s="3" t="inlineStr">
        <is>
          <t>Component</t>
        </is>
      </c>
      <c r="C21" s="3" t="inlineStr">
        <is>
          <t>Q1 2026 Reported</t>
        </is>
      </c>
      <c r="D21" s="3" t="inlineStr">
        <is>
          <t>Q1 2026 Normalized</t>
        </is>
      </c>
      <c r="E21" s="3" t="inlineStr">
        <is>
          <t>Q1 2027 Est.</t>
        </is>
      </c>
      <c r="F21" s="3" t="inlineStr">
        <is>
          <t>vs Reported</t>
        </is>
      </c>
      <c r="G21" s="3" t="inlineStr">
        <is>
          <t>vs Normalized</t>
        </is>
      </c>
      <c r="H21" s="3" t="inlineStr">
        <is>
          <t>Assumption</t>
        </is>
      </c>
    </row>
    <row r="22" ht="28" customHeight="1">
      <c r="A22" s="56" t="n"/>
      <c r="B22" s="64" t="inlineStr">
        <is>
          <t>CELSIUS brand</t>
        </is>
      </c>
      <c r="C22" s="65" t="inlineStr">
        <is>
          <t>$325M</t>
        </is>
      </c>
      <c r="D22" s="65" t="inlineStr">
        <is>
          <t>~$325M</t>
        </is>
      </c>
      <c r="E22" s="65" t="inlineStr">
        <is>
          <t>~$345M</t>
        </is>
      </c>
      <c r="F22" s="90" t="inlineStr">
        <is>
          <t>+6%</t>
        </is>
      </c>
      <c r="G22" s="90" t="inlineStr">
        <is>
          <t>+6%</t>
        </is>
      </c>
      <c r="H22" s="66" t="inlineStr">
        <is>
          <t>Organic at 6% — no reacceleration assumed</t>
        </is>
      </c>
    </row>
    <row r="23" ht="28" customHeight="1">
      <c r="A23" s="59" t="n"/>
      <c r="B23" s="67" t="inlineStr">
        <is>
          <t>Alani Nu</t>
        </is>
      </c>
      <c r="C23" s="68" t="inlineStr">
        <is>
          <t>$368M</t>
        </is>
      </c>
      <c r="D23" s="68" t="inlineStr">
        <is>
          <t>~$158M</t>
        </is>
      </c>
      <c r="E23" s="68" t="inlineStr">
        <is>
          <t>~$174M</t>
        </is>
      </c>
      <c r="F23" s="91" t="inlineStr">
        <is>
          <t>-53%</t>
        </is>
      </c>
      <c r="G23" s="92" t="inlineStr">
        <is>
          <t>+10%</t>
        </is>
      </c>
      <c r="H23" s="70" t="inlineStr">
        <is>
          <t>~$500M pre-acq annual rate + PepsiCo lift; ~$210M Q1 loading unwinds</t>
        </is>
      </c>
    </row>
    <row r="24" ht="28" customHeight="1">
      <c r="A24" s="56" t="n"/>
      <c r="B24" s="64" t="inlineStr">
        <is>
          <t>Rockstar</t>
        </is>
      </c>
      <c r="C24" s="65" t="inlineStr">
        <is>
          <t>$67M</t>
        </is>
      </c>
      <c r="D24" s="65" t="inlineStr">
        <is>
          <t>~$67M</t>
        </is>
      </c>
      <c r="E24" s="65" t="inlineStr">
        <is>
          <t>~$58M</t>
        </is>
      </c>
      <c r="F24" s="93" t="inlineStr">
        <is>
          <t>-13%</t>
        </is>
      </c>
      <c r="G24" s="93" t="inlineStr">
        <is>
          <t>-13%</t>
        </is>
      </c>
      <c r="H24" s="66" t="inlineStr">
        <is>
          <t>Continuing -13% retail tracked channel decline</t>
        </is>
      </c>
    </row>
    <row r="25" ht="28" customHeight="1">
      <c r="A25" s="59" t="n"/>
      <c r="B25" s="67" t="inlineStr">
        <is>
          <t>International</t>
        </is>
      </c>
      <c r="C25" s="68" t="inlineStr">
        <is>
          <t>$35M</t>
        </is>
      </c>
      <c r="D25" s="68" t="inlineStr">
        <is>
          <t>~$35M</t>
        </is>
      </c>
      <c r="E25" s="68" t="inlineStr">
        <is>
          <t>~$49M</t>
        </is>
      </c>
      <c r="F25" s="92" t="inlineStr">
        <is>
          <t>+40%</t>
        </is>
      </c>
      <c r="G25" s="92" t="inlineStr">
        <is>
          <t>+40%</t>
        </is>
      </c>
      <c r="H25" s="70" t="inlineStr">
        <is>
          <t>Decelerating from 55% but organic growth continues</t>
        </is>
      </c>
    </row>
    <row r="26" ht="28" customHeight="1">
      <c r="A26" s="71" t="n"/>
      <c r="B26" s="72" t="inlineStr">
        <is>
          <t>TOTAL</t>
        </is>
      </c>
      <c r="C26" s="73" t="inlineStr">
        <is>
          <t>$782M</t>
        </is>
      </c>
      <c r="D26" s="73" t="inlineStr">
        <is>
          <t>~$572M</t>
        </is>
      </c>
      <c r="E26" s="73" t="inlineStr">
        <is>
          <t>~$626M</t>
        </is>
      </c>
      <c r="F26" s="94" t="inlineStr">
        <is>
          <t>-20%</t>
        </is>
      </c>
      <c r="G26" s="94" t="inlineStr">
        <is>
          <t>+9%</t>
        </is>
      </c>
      <c r="H26" s="95" t="inlineStr">
        <is>
          <t>29-point gap: market sees -20%, business did +9%</t>
        </is>
      </c>
    </row>
    <row r="27" ht="48" customHeight="1">
      <c r="A27" s="96" t="inlineStr">
        <is>
          <t>⚡  KEY TAKEAWAY: The market will see $626M vs $782.6M = -20% Y/Y and likely sell the stock. The business actually grew +9% on a normalized basis. This 29-point gap between perception and reality is why management MUST proactively frame the Q1 2027 comp on the Q4 2026 earnings call. Without pre-disclosure, a healthy business will look broken. This risk must be reflected in the projection engine scenarios.</t>
        </is>
      </c>
    </row>
    <row r="29" ht="18" customHeight="1">
      <c r="A29" s="41" t="inlineStr">
        <is>
          <t>▶  SECTION 3 — GRADE FRAMEWORK ANCHORED TO NORMALIZED GROWTH (not 138% optical)</t>
        </is>
      </c>
    </row>
    <row r="30" ht="36" customHeight="1">
      <c r="A30" s="62" t="inlineStr">
        <is>
          <t>Grading against 138% would be meaningless — that number cannot repeat (no more acquisitions of this scale, loading clears). The framework below grades future quarters against normalized portfolio growth: the rate the combined CELSIUS + Alani Nu + Rockstar + International business can organically sustain.</t>
        </is>
      </c>
    </row>
    <row r="31" ht="31" customHeight="1">
      <c r="A31" s="75" t="n"/>
      <c r="B31" s="76" t="inlineStr">
        <is>
          <t>A</t>
        </is>
      </c>
      <c r="C31" s="76" t="inlineStr">
        <is>
          <t>25%+ normalized</t>
        </is>
      </c>
      <c r="D31" s="78" t="inlineStr">
        <is>
          <t>CELSIUS organic double digits + Alani Nu maturing + International scaling. Gross margin 50%+. Q1 2027 framed cleanly. Rockstar stabilizes.</t>
        </is>
      </c>
      <c r="E31" s="97" t="n"/>
      <c r="F31" s="97" t="n"/>
      <c r="G31" s="97" t="n"/>
      <c r="H31" s="63" t="n"/>
    </row>
    <row r="32" ht="29" customHeight="1">
      <c r="A32" s="80" t="n"/>
      <c r="B32" s="81" t="inlineStr">
        <is>
          <t>B+</t>
        </is>
      </c>
      <c r="C32" s="81" t="inlineStr">
        <is>
          <t>15-25% normalized</t>
        </is>
      </c>
      <c r="D32" s="83" t="inlineStr">
        <is>
          <t>CELSIUS organic 8-12%. Gross margin recovering visibly. Q1 2027 decline acknowledged. Capital structure drag manageable.</t>
        </is>
      </c>
      <c r="E32" s="97" t="n"/>
      <c r="F32" s="97" t="n"/>
      <c r="G32" s="97" t="n"/>
      <c r="H32" s="63" t="n"/>
    </row>
    <row r="33" ht="34" customHeight="1">
      <c r="A33" s="98" t="n"/>
      <c r="B33" s="99" t="inlineStr">
        <is>
          <t>B ← Q1 2026</t>
        </is>
      </c>
      <c r="C33" s="99" t="inlineStr">
        <is>
          <t>8-15% normalized</t>
        </is>
      </c>
      <c r="D33" s="100" t="inlineStr">
        <is>
          <t>Current standing. Strong Q1 execution but organic only +6%, loading inflates the headline, Q1 2027 trap unaddressed, $136M annual capital structure drag structural.</t>
        </is>
      </c>
      <c r="E33" s="97" t="n"/>
      <c r="F33" s="97" t="n"/>
      <c r="G33" s="97" t="n"/>
      <c r="H33" s="63" t="n"/>
    </row>
    <row r="34" ht="29" customHeight="1">
      <c r="A34" s="101" t="n"/>
      <c r="B34" s="102" t="inlineStr">
        <is>
          <t>C</t>
        </is>
      </c>
      <c r="C34" s="102" t="inlineStr">
        <is>
          <t>0-8% normalized</t>
        </is>
      </c>
      <c r="D34" s="103" t="inlineStr">
        <is>
          <t>CELSIUS brand stalls or loses share. Alani Nu below $120M/quarter. Gross margin stuck below 48%. Adj. EBITDA margin contracts.</t>
        </is>
      </c>
      <c r="E34" s="97" t="n"/>
      <c r="F34" s="97" t="n"/>
      <c r="G34" s="97" t="n"/>
      <c r="H34" s="63" t="n"/>
    </row>
    <row r="35" ht="28" customHeight="1">
      <c r="A35" s="85" t="n"/>
      <c r="B35" s="86" t="inlineStr">
        <is>
          <t>D</t>
        </is>
      </c>
      <c r="C35" s="86" t="inlineStr">
        <is>
          <t>Negative normalized</t>
        </is>
      </c>
      <c r="D35" s="88" t="inlineStr">
        <is>
          <t>Revenue declines on organic basis. PepsiCo agreement adverse change. Legal settlement blowout. Debt covenant pressure.</t>
        </is>
      </c>
      <c r="E35" s="97" t="n"/>
      <c r="F35" s="97" t="n"/>
      <c r="G35" s="97" t="n"/>
      <c r="H35" s="63" t="n"/>
    </row>
    <row r="37" ht="18" customHeight="1">
      <c r="A37" s="37" t="inlineStr">
        <is>
          <t>▶  SECTION 4 — WHAT TO WATCH TO UPGRADE FROM B TO B+</t>
        </is>
      </c>
    </row>
    <row r="38" ht="25" customHeight="1">
      <c r="A38" s="44" t="inlineStr">
        <is>
          <t>① CELSIUS brand organic growth ≥8% in Q2 2026 — the single biggest unlock. Shows the core brand is recovering independent of acquisition noise.</t>
        </is>
      </c>
    </row>
    <row r="39" ht="26" customHeight="1">
      <c r="A39" s="104" t="inlineStr">
        <is>
          <t>② Alani Nu quarterly revenue stabilizes at $140M+ for two consecutive quarters — confirms loading has cleared and true consumer demand is solid.</t>
        </is>
      </c>
    </row>
    <row r="40" ht="24" customHeight="1">
      <c r="A40" s="44" t="inlineStr">
        <is>
          <t>③ Gross margin prints above 49% in Q2 or Q3 2026 — shows the orbit model and freight optimization are working, not just promised.</t>
        </is>
      </c>
    </row>
    <row r="41" ht="27" customHeight="1">
      <c r="A41" s="104" t="inlineStr">
        <is>
          <t>④ Management explicitly pre-frames the Q1 2027 comp on the Q4 2026 earnings call — proactive disclosure prevents the market from panicking at a technical Y/Y decline.</t>
        </is>
      </c>
    </row>
    <row r="42" ht="23" customHeight="1">
      <c r="A42" s="44" t="inlineStr">
        <is>
          <t>⑤ Adj. EBITDA margin expands to 26%+ — confirms operating leverage is widening, not plateauing at the Q1 2026 level.</t>
        </is>
      </c>
    </row>
    <row r="43" ht="18" customHeight="1">
      <c r="A43" s="45" t="inlineStr">
        <is>
          <t>Analysis built: May 2026  |  Script: build_celh_income_v1.py  |  All revenue figures in $M  |  Normalized figures are estimates based on pre-acquisition run rates and distribution expansion modeling  |  Not investment advice.</t>
        </is>
      </c>
    </row>
  </sheetData>
  <mergeCells count="33">
    <mergeCell ref="D35:H35"/>
    <mergeCell ref="A30:H30"/>
    <mergeCell ref="A39:H39"/>
    <mergeCell ref="D34:H34"/>
    <mergeCell ref="F10:G10"/>
    <mergeCell ref="F16:G16"/>
    <mergeCell ref="F6:G6"/>
    <mergeCell ref="D31:H31"/>
    <mergeCell ref="A1:H1"/>
    <mergeCell ref="F7:G7"/>
    <mergeCell ref="F15:G15"/>
    <mergeCell ref="F5:G5"/>
    <mergeCell ref="A41:H41"/>
    <mergeCell ref="D32:H32"/>
    <mergeCell ref="A37:H37"/>
    <mergeCell ref="A27:H27"/>
    <mergeCell ref="F17:G17"/>
    <mergeCell ref="F8:G8"/>
    <mergeCell ref="A12:H12"/>
    <mergeCell ref="A3:H3"/>
    <mergeCell ref="A2:H2"/>
    <mergeCell ref="A42:H42"/>
    <mergeCell ref="F13:G13"/>
    <mergeCell ref="F9:G9"/>
    <mergeCell ref="A4:H4"/>
    <mergeCell ref="A29:H29"/>
    <mergeCell ref="A20:H20"/>
    <mergeCell ref="A38:H38"/>
    <mergeCell ref="A43:H43"/>
    <mergeCell ref="D33:H33"/>
    <mergeCell ref="A19:H19"/>
    <mergeCell ref="F14:G1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2026-05-19T04:22:16Z</dcterms:created>
  <dcterms:modified xsi:type="dcterms:W3CDTF">2026-05-19T04:22:16Z</dcterms:modified>
</cp:coreProperties>
</file>